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2"/>
  </bookViews>
  <sheets>
    <sheet name="指标总览" sheetId="1" r:id="rId1"/>
    <sheet name="商品渠道" sheetId="12" r:id="rId2"/>
    <sheet name="看板" sheetId="11" r:id="rId3"/>
    <sheet name="图表数据" sheetId="10" r:id="rId4"/>
    <sheet name="目标预算" sheetId="9" r:id="rId5"/>
    <sheet name="Summary" sheetId="7" r:id="rId6"/>
    <sheet name="文件清单" sheetId="8" r:id="rId7"/>
    <sheet name="明细数据" sheetId="2" r:id="rId8"/>
    <sheet name="透视表" sheetId="3" r:id="rId9"/>
    <sheet name="时间趋势" sheetId="4" r:id="rId10"/>
    <sheet name="渠道维度" sheetId="6" r:id="rId11"/>
    <sheet name="商品维度" sheetId="5" r:id="rId12"/>
  </sheets>
  <definedNames>
    <definedName name="_xlnm._FilterDatabase" localSheetId="0" hidden="1">指标总览!$A$1:$M$392</definedName>
    <definedName name="_xlnm._FilterDatabase" localSheetId="6" hidden="1">文件清单!$A$1:$J$9</definedName>
    <definedName name="_xlnm._FilterDatabase" localSheetId="9" hidden="1">时间趋势!$A$1:$AH$4</definedName>
    <definedName name="_xlnm._FilterDatabase" localSheetId="10" hidden="1">渠道维度!$A$1:$O$1</definedName>
    <definedName name="_xlnm._FilterDatabase" localSheetId="11" hidden="1">商品维度!$A$1:$AA$1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长表结构：源文件放入数据行后重跑本脚本，此处即成为透视数据源。统计日期已被 Excel 转成日期序列，故显式设格式。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<sst xmlns="http://schemas.openxmlformats.org/spreadsheetml/2006/main" count="4724" uniqueCount="457">
  <si>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</si>
  <si>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</si>
  <si>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</si>
  <si>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</si>
  <si>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</si>
  <si>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</si>
  <si>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</si>
  <si>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</si>
  <si>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</si>
  <si>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</si>
  <si>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</si>
  <si>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</si>
  <si>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</si>
  <si>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</si>
  <si>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交易概况</t>
  </si>
  <si>
    <t>分天</t>
  </si>
  <si>
    <t>2026-09-28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</si>
  <si>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</si>
  <si>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</si>
  <si>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</si>
  <si>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</si>
  <si>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</si>
  <si>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</si>
  <si>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</si>
  <si>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</si>
  <si>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</si>
  <si>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</si>
  <si>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</si>
  <si>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</si>
  <si>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</si>
  <si>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</si>
  <si>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</si>
  <si>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</si>
  <si>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</si>
  <si>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</si>
  <si>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</si>
  <si>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</si>
  <si>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</si>
  <si>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</si>
  <si>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</si>
  <si>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</si>
  <si>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</si>
  <si>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</si>
  <si>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</si>
  <si>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</si>
  <si>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</si>
  <si>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</si>
  <si>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</si>
  <si>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</si>
  <si>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</si>
  <si>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</si>
  <si>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</si>
  <si>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</si>
  <si>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</si>
  <si>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</si>
  <si>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</si>
  <si>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</si>
  <si>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</si>
  <si>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</si>
  <si>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</si>
  <si>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</si>
  <si>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</si>
  <si>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</si>
  <si>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</si>
  <si>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</si>
  <si>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</si>
  <si>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</si>
  <si>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</si>
  <si>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</si>
  <si>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</si>
  <si>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</si>
  <si>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</si>
  <si>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</si>
  <si>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</si>
  <si>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</si>
  <si>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</si>
  <si>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</si>
  <si>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</si>
  <si>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</si>
  <si>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</si>
  <si>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</si>
  <si>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</si>
  <si>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</si>
  <si>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</si>
  <si>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</si>
  <si>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</si>
  <si>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</si>
  <si>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</si>
  <si>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</si>
  <si>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</si>
  <si>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</si>
  <si>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</si>
  <si>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</si>
  <si>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</si>
  <si>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</si>
  <si>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</si>
  <si>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</si>
  <si>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</si>
  <si>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</si>
  <si>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</si>
  <si>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</si>
  <si>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</si>
  <si>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</si>
  <si>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</si>
  <si>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</si>
  <si>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</si>
  <si>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</si>
  <si>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</si>
  <si>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</si>
  <si>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</si>
  <si>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</si>
  <si>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</si>
  <si>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</si>
  <si>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</si>
  <si>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</si>
  <si>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</si>
  <si>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</si>
  <si>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</si>
  <si>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</si>
  <si>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</si>
  <si>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</si>
  <si>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</si>
  <si>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</si>
  <si>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</si>
  <si>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</si>
  <si>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</si>
  <si>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</si>
  <si>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</si>
  <si>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</si>
  <si>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</si>
  <si>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</si>
  <si>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</si>
  <si>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</si>
  <si>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</si>
  <si>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</si>
  <si>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</si>
  <si>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</si>
  <si>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</si>
  <si>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</si>
  <si>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</si>
  <si>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</si>
  <si>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</si>
  <si>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</si>
  <si>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</si>
  <si>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</si>
  <si>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</si>
  <si>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</si>
  <si>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</si>
  <si>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</si>
  <si>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</si>
  <si>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</si>
  <si>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</si>
  <si>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</si>
  <si>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</si>
  <si>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</si>
  <si>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</si>
  <si>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</si>
  <si>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</si>
  <si>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</si>
  <si>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</si>
  <si>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</si>
  <si>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</si>
  <si>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</si>
  <si>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</si>
  <si>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</si>
  <si>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</si>
  <si>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</si>
  <si>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</si>
  <si>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</si>
  <si>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</si>
  <si>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</si>
  <si>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</si>
  <si>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</si>
  <si>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</si>
  <si>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</si>
  <si>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</si>
  <si>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</si>
  <si>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2026-09-29 00:00:00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</si>
  <si>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</si>
  <si>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</si>
  <si>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</si>
  <si>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</si>
  <si>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</si>
  <si>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</si>
  <si>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</si>
  <si>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</si>
  <si>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</si>
  <si>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</si>
  <si>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</si>
  <si>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</si>
  <si>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</si>
  <si>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</si>
  <si>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</si>
  <si>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</si>
  <si>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</si>
  <si>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</si>
  <si>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</si>
  <si>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</si>
  <si>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</si>
  <si>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</si>
  <si>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</si>
  <si>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</si>
  <si>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</si>
  <si>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</si>
  <si>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</si>
  <si>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</si>
  <si>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</si>
  <si>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</si>
  <si>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</si>
  <si>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</si>
  <si>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</si>
  <si>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</si>
  <si>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</si>
  <si>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</si>
  <si>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</si>
  <si>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</si>
  <si>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</si>
  <si>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</si>
  <si>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</si>
  <si>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</si>
  <si>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</si>
  <si>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</si>
  <si>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</si>
  <si>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</si>
  <si>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</si>
  <si>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</si>
  <si>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</si>
  <si>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</si>
  <si>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2026-09-29 00:00:00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</si>
  <si>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</si>
  <si>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</si>
  <si>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</si>
  <si>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</si>
  <si>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</si>
  <si>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</si>
  <si>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</si>
  <si>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</si>
  <si>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</si>
  <si>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</si>
  <si>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小巴依-奔羊羊</t>
  </si>
  <si>
    <t>报表中心_计划_30天_点击_不含赠品_成交订单</t>
  </si>
  <si>
    <t>未标注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</si>
  <si>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</si>
  <si>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</si>
  <si>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</si>
  <si>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</si>
  <si>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</si>
  <si>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</si>
  <si>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</si>
  <si>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</si>
  <si>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</si>
  <si>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</si>
  <si>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</si>
  <si>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</si>
  <si>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</si>
  <si>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</si>
  <si>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</si>
  <si>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</si>
  <si>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</si>
  <si>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</si>
  <si>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</si>
  <si>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</si>
  <si>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</si>
  <si>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</si>
  <si>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</si>
  <si>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</si>
  <si>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</si>
  <si>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</si>
  <si>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</si>
  <si>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</si>
  <si>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</si>
  <si>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</si>
  <si>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</si>
  <si>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</si>
  <si>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</si>
  <si>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</si>
  <si>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</si>
  <si>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</si>
  <si>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</si>
  <si>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</si>
  <si>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</si>
  <si>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</si>
  <si>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</si>
  <si>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</si>
  <si>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</si>
  <si>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</si>
  <si>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</si>
  <si>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</si>
  <si>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</si>
  <si>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</si>
  <si>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</si>
  <si>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</si>
  <si>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</si>
  <si>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</si>
  <si>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</si>
  <si>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</si>
  <si>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</si>
  <si>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</si>
  <si>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</si>
  <si>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</si>
  <si>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</si>
  <si>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</si>
  <si>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</si>
  <si>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</si>
  <si>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</si>
  <si>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</si>
  <si>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</si>
  <si>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</si>
  <si>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</si>
  <si>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</si>
  <si>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</si>
  <si>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</si>
  <si>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</si>
  <si>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</si>
  <si>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</si>
  <si>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</si>
  <si>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</si>
  <si>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</si>
  <si>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</si>
  <si>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</si>
  <si>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</si>
  <si>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</si>
  <si>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</si>
  <si>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</si>
  <si>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</si>
  <si>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七(下)、单品-各渠道贡献：在 D2 下拉选择 SPU，下方表格与饼图随之更新</t>
  </si>
  <si>
    <t>选择商品</t>
  </si>
  <si>
    <t>渠道</t>
  </si>
  <si>
    <t>销售额</t>
  </si>
  <si>
    <t>销售件数</t>
  </si>
  <si>
    <t>下单人数</t>
  </si>
  <si>
    <t>占该品比</t>
  </si>
  <si>
    <t>说明：需导入「商品×渠道」交叉明细后本表才有数；未导入前为 0，属预期。</t>
  </si>
  <si>
    <t>经营看板</t>
  </si>
  <si>
    <t>数据来源：明细数据（SUMIFS 活公式）+ 目标预算（可编辑）</t>
  </si>
  <si>
    <t>六、预算使用率与全月使用进度（表格）</t>
  </si>
  <si>
    <t>指标</t>
  </si>
  <si>
    <t>数值</t>
  </si>
  <si>
    <t>口径说明</t>
  </si>
  <si>
    <t>当月广告花费</t>
  </si>
  <si>
    <t>推广报表花费合计</t>
  </si>
  <si>
    <t>当月销售额</t>
  </si>
  <si>
    <t>成交金额合计（费比分母）</t>
  </si>
  <si>
    <t>商品/渠道明细见「图表数据」T15 起 与「商品渠道」sheet</t>
  </si>
  <si>
    <t>月度广告预算</t>
  </si>
  <si>
    <t>取自本表 H5</t>
  </si>
  <si>
    <t>当前使用率</t>
  </si>
  <si>
    <t>已花费 / 预算</t>
  </si>
  <si>
    <t>时间进度</t>
  </si>
  <si>
    <t>已过天数 / 当月总天数</t>
  </si>
  <si>
    <t>全月使用进度</t>
  </si>
  <si>
    <t>使用率 - 时间进度；正数=花钱快于走日历</t>
  </si>
  <si>
    <t>实际ROI</t>
  </si>
  <si>
    <t>广告成交额 / 花费</t>
  </si>
  <si>
    <t>ROI达成</t>
  </si>
  <si>
    <t>实际ROI / ROI目标</t>
  </si>
  <si>
    <t>花费比例(费比)</t>
  </si>
  <si>
    <t>花费 / 销售额</t>
  </si>
  <si>
    <t>费比上限</t>
  </si>
  <si>
    <t>取自本表 H7</t>
  </si>
  <si>
    <t>预算预警</t>
  </si>
  <si>
    <t>使用率对比时间进度的阈值判断</t>
  </si>
  <si>
    <t>费比</t>
  </si>
  <si>
    <t>本表全为公式，挂在「明细数据」+「目标预算」上；数据更新后图表自动重算，无需重跑脚本</t>
  </si>
  <si>
    <t>占比</t>
  </si>
  <si>
    <t>排名</t>
  </si>
  <si>
    <t>日</t>
  </si>
  <si>
    <t>本期销售额</t>
  </si>
  <si>
    <t>上期销售额</t>
  </si>
  <si>
    <t>同比%</t>
  </si>
  <si>
    <t>环比%</t>
  </si>
  <si>
    <t>去年同期</t>
  </si>
  <si>
    <t>四、目标达成率</t>
  </si>
  <si>
    <t>期间</t>
  </si>
  <si>
    <t>目标</t>
  </si>
  <si>
    <t>实际</t>
  </si>
  <si>
    <t>达成率</t>
  </si>
  <si>
    <t>本月</t>
  </si>
  <si>
    <t>本年</t>
  </si>
  <si>
    <t>五、广告ROI与费比</t>
  </si>
  <si>
    <t>ROI目标</t>
  </si>
  <si>
    <t>合计</t>
  </si>
  <si>
    <t>七、商品-渠道 销售额/件数/下单人数</t>
  </si>
  <si>
    <t>周</t>
  </si>
  <si>
    <t>月</t>
  </si>
  <si>
    <t>年</t>
  </si>
  <si>
    <t>2025 年</t>
  </si>
  <si>
    <t>2026 年</t>
  </si>
  <si>
    <t>目标与预算输入表（黄色单元格人工填写；有目标文件时脚本自动预填）</t>
  </si>
  <si>
    <t>当前考核月份(可改)</t>
  </si>
  <si>
    <t>月份</t>
  </si>
  <si>
    <t>月度目标</t>
  </si>
  <si>
    <t>广告预算</t>
  </si>
  <si>
    <t>年度累计目标</t>
  </si>
  <si>
    <t>当月广告预算</t>
  </si>
  <si>
    <t>六、广告预算使用率 与 全月使用进度（表格）</t>
  </si>
  <si>
    <t>当月广告成交额</t>
  </si>
  <si>
    <t>全站交易额合计</t>
  </si>
  <si>
    <t>取自本表 H6</t>
  </si>
  <si>
    <t>京东 商智数据透析表</t>
  </si>
  <si>
    <t>店铺/品牌(自动识别)</t>
  </si>
  <si>
    <t>11623441、未标注、小巴依-奔羊羊</t>
  </si>
  <si>
    <t>文件名店铺标识</t>
  </si>
  <si>
    <t>奔养养</t>
  </si>
  <si>
    <t>出表日期</t>
  </si>
  <si>
    <t>输出文件</t>
  </si>
  <si>
    <t>京东_奔养养_26-09-30.xlsx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</si>
  <si>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</si>
  <si>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</si>
  <si>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</si>
  <si>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</si>
  <si>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</si>
  <si>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</si>
  <si>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</si>
  <si>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</si>
  <si>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原生透视表（可刷新）</t>
  </si>
  <si>
    <t>注意：全部源文件当前只有表头、没有数据行（Excel UsedRange 与 xlsx 内部 dimension 双重核验）。</t>
  </si>
  <si>
    <t>本次交付 =「元数据透析 + 待填充结构」。把带数据行的导出放回本目录后重跑脚本，各 sheet 自动出数。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</si>
  <si>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</si>
  <si>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</si>
  <si>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</si>
  <si>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</si>
  <si>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</si>
  <si>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</si>
  <si>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</si>
  <si>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</si>
  <si>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</si>
  <si>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</si>
  <si>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无</t>
  </si>
  <si>
    <t>实时</t>
  </si>
  <si>
    <t>-</t>
  </si>
  <si>
    <t>统计日期</t>
  </si>
  <si>
    <t>维度组合</t>
  </si>
  <si>
    <t>活透视表：行=报表类型，列=列角色，值=列数计数。数据行落地后可把值字段换成「明细数据」的数值求和。</t>
  </si>
  <si>
    <t>列标签</t>
  </si>
  <si>
    <t>列数汇总</t>
  </si>
  <si>
    <t>度量列数汇总</t>
  </si>
  <si>
    <t>行标签</t>
  </si>
  <si>
    <t>度量列数</t>
  </si>
  <si>
    <t>总计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</si>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</sst>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"/>
    <numFmt numFmtId="178" formatCode="0.0%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787878"/>
      <name val="宋体"/>
      <charset val="134"/>
      <scheme val="minor"/>
    </font>
    <font>
      <i/>
      <sz val="11"/>
      <color rgb="FF787878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1" fillId="2" borderId="0" xfId="0" applyNumberFormat="1" applyFont="1" applyFill="1">
      <alignment vertical="center"/>
    </xf>
    <xf numFmtId="0" fontId="1" fillId="2" borderId="0" xfId="0" applyNumberFormat="1" applyFont="1" applyFill="1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0" fillId="3" borderId="0" xfId="0" applyNumberFormat="1" applyFill="1">
      <alignment vertical="center"/>
    </xf>
    <xf numFmtId="0" fontId="1" fillId="4" borderId="0" xfId="0" applyFont="1" applyFill="1">
      <alignment vertical="center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2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2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6" fillId="0" borderId="0" xfId="0" applyNumberFormat="1" applyFont="1">
      <alignment vertical="center"/>
    </xf>
    <xf numFmtId="177" fontId="1" fillId="4" borderId="0" xfId="0" applyNumberFormat="1" applyFont="1" applyFill="1">
      <alignment vertical="center"/>
    </xf>
    <xf numFmtId="3" fontId="1" fillId="4" borderId="0" xfId="0" applyNumberFormat="1" applyFont="1" applyFill="1">
      <alignment vertical="center"/>
    </xf>
    <xf numFmtId="4" fontId="0" fillId="3" borderId="0" xfId="0" applyNumberFormat="1" applyFill="1">
      <alignment vertical="center"/>
    </xf>
    <xf numFmtId="3" fontId="7" fillId="3" borderId="0" xfId="0" applyNumberFormat="1" applyFont="1" applyFill="1">
      <alignment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17" fontId="0" fillId="0" borderId="0" xfId="0" applyNumberForma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4" fontId="0" fillId="0" borderId="0" xfId="0" applyNumberFormat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所选 SPU 的各渠道贡献占比（随 D2 联动）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2969B0">
                  <a:shade val="76667"/>
                </a:srgbClr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Lbls>
            <c:delete val="1"/>
          </c:dLbls>
          <c:cat>
            <c:numRef>
              <c:f>商品渠道!$A$5:$A$14</c:f>
              <c:numCache>
                <c:formatCode>General</c:formatCode>
                <c:ptCount val="10"/>
              </c:numCache>
            </c:numRef>
          </c:cat>
          <c:val>
            <c:numRef>
              <c:f>商品渠道!$B$5:$B$14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一、全渠道GMV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969B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图表数据!$A$4:$A$13</c:f>
              <c:numCache>
                <c:formatCode>General</c:formatCode>
                <c:ptCount val="10"/>
              </c:numCache>
            </c:numRef>
          </c:cat>
          <c:val>
            <c:numRef>
              <c:f>图表数据!$B$4:$B$13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268194617"/>
        <c:axId val="117142588"/>
      </c:barChart>
      <c:catAx>
        <c:axId val="2681946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7142588"/>
        <c:crosses val="autoZero"/>
        <c:auto val="1"/>
        <c:lblAlgn val="ctr"/>
        <c:lblOffset val="100"/>
        <c:noMultiLvlLbl val="0"/>
      </c:catAx>
      <c:valAx>
        <c:axId val="1171425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渠道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8194617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二、各渠道销售额占比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2969B0">
                  <a:shade val="76667"/>
                </a:srgbClr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Lbls>
            <c:delete val="1"/>
          </c:dLbls>
          <c:cat>
            <c:numRef>
              <c:f>图表数据!$A$4:$A$13</c:f>
              <c:numCache>
                <c:formatCode>General</c:formatCode>
                <c:ptCount val="10"/>
              </c:numCache>
            </c:numRef>
          </c:cat>
          <c:val>
            <c:numRef>
              <c:f>图表数据!$B$4:$B$13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三、日销售额 本期vs上期 + 同比折线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numRef>
              <c:f>图表数据!$F$4:$F$17</c:f>
              <c:numCache>
                <c:formatCode>yyyy/m/d</c:formatCode>
                <c:ptCount val="14"/>
                <c:pt idx="0" c:formatCode="yyyy/m/d">
                  <c:v>46282</c:v>
                </c:pt>
                <c:pt idx="1" c:formatCode="yyyy/m/d">
                  <c:v>46283</c:v>
                </c:pt>
                <c:pt idx="2" c:formatCode="yyyy/m/d">
                  <c:v>46284</c:v>
                </c:pt>
                <c:pt idx="3" c:formatCode="yyyy/m/d">
                  <c:v>46285</c:v>
                </c:pt>
                <c:pt idx="4" c:formatCode="yyyy/m/d">
                  <c:v>46286</c:v>
                </c:pt>
                <c:pt idx="5" c:formatCode="yyyy/m/d">
                  <c:v>46287</c:v>
                </c:pt>
                <c:pt idx="6" c:formatCode="yyyy/m/d">
                  <c:v>46288</c:v>
                </c:pt>
                <c:pt idx="7" c:formatCode="yyyy/m/d">
                  <c:v>46289</c:v>
                </c:pt>
                <c:pt idx="8" c:formatCode="yyyy/m/d">
                  <c:v>46290</c:v>
                </c:pt>
                <c:pt idx="9" c:formatCode="yyyy/m/d">
                  <c:v>46291</c:v>
                </c:pt>
                <c:pt idx="10" c:formatCode="yyyy/m/d">
                  <c:v>46292</c:v>
                </c:pt>
                <c:pt idx="11" c:formatCode="yyyy/m/d">
                  <c:v>46293</c:v>
                </c:pt>
                <c:pt idx="12" c:formatCode="yyyy/m/d">
                  <c:v>46294</c:v>
                </c:pt>
                <c:pt idx="13" c:formatCode="yyyy/m/d">
                  <c:v>46295</c:v>
                </c:pt>
              </c:numCache>
            </c:numRef>
          </c:cat>
          <c:val>
            <c:numRef>
              <c:f>图表数据!$G$4:$G$17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numRef>
              <c:f>图表数据!$F$4:$F$17</c:f>
              <c:numCache>
                <c:formatCode>yyyy/m/d</c:formatCode>
                <c:ptCount val="14"/>
                <c:pt idx="0" c:formatCode="yyyy/m/d">
                  <c:v>46282</c:v>
                </c:pt>
                <c:pt idx="1" c:formatCode="yyyy/m/d">
                  <c:v>46283</c:v>
                </c:pt>
                <c:pt idx="2" c:formatCode="yyyy/m/d">
                  <c:v>46284</c:v>
                </c:pt>
                <c:pt idx="3" c:formatCode="yyyy/m/d">
                  <c:v>46285</c:v>
                </c:pt>
                <c:pt idx="4" c:formatCode="yyyy/m/d">
                  <c:v>46286</c:v>
                </c:pt>
                <c:pt idx="5" c:formatCode="yyyy/m/d">
                  <c:v>46287</c:v>
                </c:pt>
                <c:pt idx="6" c:formatCode="yyyy/m/d">
                  <c:v>46288</c:v>
                </c:pt>
                <c:pt idx="7" c:formatCode="yyyy/m/d">
                  <c:v>46289</c:v>
                </c:pt>
                <c:pt idx="8" c:formatCode="yyyy/m/d">
                  <c:v>46290</c:v>
                </c:pt>
                <c:pt idx="9" c:formatCode="yyyy/m/d">
                  <c:v>46291</c:v>
                </c:pt>
                <c:pt idx="10" c:formatCode="yyyy/m/d">
                  <c:v>46292</c:v>
                </c:pt>
                <c:pt idx="11" c:formatCode="yyyy/m/d">
                  <c:v>46293</c:v>
                </c:pt>
                <c:pt idx="12" c:formatCode="yyyy/m/d">
                  <c:v>46294</c:v>
                </c:pt>
                <c:pt idx="13" c:formatCode="yyyy/m/d">
                  <c:v>46295</c:v>
                </c:pt>
              </c:numCache>
            </c:numRef>
          </c:cat>
          <c:val>
            <c:numRef>
              <c:f>图表数据!$H$4:$H$17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857372"/>
        <c:axId val="492614073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图表数据!$F$4:$F$17</c:f>
              <c:numCache>
                <c:formatCode>yyyy/m/d</c:formatCode>
                <c:ptCount val="14"/>
                <c:pt idx="0" c:formatCode="yyyy/m/d">
                  <c:v>46282</c:v>
                </c:pt>
                <c:pt idx="1" c:formatCode="yyyy/m/d">
                  <c:v>46283</c:v>
                </c:pt>
                <c:pt idx="2" c:formatCode="yyyy/m/d">
                  <c:v>46284</c:v>
                </c:pt>
                <c:pt idx="3" c:formatCode="yyyy/m/d">
                  <c:v>46285</c:v>
                </c:pt>
                <c:pt idx="4" c:formatCode="yyyy/m/d">
                  <c:v>46286</c:v>
                </c:pt>
                <c:pt idx="5" c:formatCode="yyyy/m/d">
                  <c:v>46287</c:v>
                </c:pt>
                <c:pt idx="6" c:formatCode="yyyy/m/d">
                  <c:v>46288</c:v>
                </c:pt>
                <c:pt idx="7" c:formatCode="yyyy/m/d">
                  <c:v>46289</c:v>
                </c:pt>
                <c:pt idx="8" c:formatCode="yyyy/m/d">
                  <c:v>46290</c:v>
                </c:pt>
                <c:pt idx="9" c:formatCode="yyyy/m/d">
                  <c:v>46291</c:v>
                </c:pt>
                <c:pt idx="10" c:formatCode="yyyy/m/d">
                  <c:v>46292</c:v>
                </c:pt>
                <c:pt idx="11" c:formatCode="yyyy/m/d">
                  <c:v>46293</c:v>
                </c:pt>
                <c:pt idx="12" c:formatCode="yyyy/m/d">
                  <c:v>46294</c:v>
                </c:pt>
                <c:pt idx="13" c:formatCode="yyyy/m/d">
                  <c:v>46295</c:v>
                </c:pt>
              </c:numCache>
            </c:numRef>
          </c:cat>
          <c:val>
            <c:numRef>
              <c:f>图表数据!$I$4:$I$17</c:f>
              <c:numCache>
                <c:formatCode>0.0%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374416665"/>
        <c:axId val="666485650"/>
      </c:lineChart>
      <c:dateAx>
        <c:axId val="9178573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92614073"/>
        <c:crosses val="autoZero"/>
        <c:auto val="1"/>
        <c:lblOffset val="100"/>
        <c:baseTimeUnit val="days"/>
      </c:dateAx>
      <c:valAx>
        <c:axId val="492614073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17857372"/>
        <c:crosses val="autoZero"/>
        <c:crossBetween val="between"/>
      </c:valAx>
      <c:dateAx>
        <c:axId val="37441666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66485650"/>
        <c:crosses val="autoZero"/>
        <c:auto val="1"/>
        <c:lblOffset val="100"/>
        <c:baseTimeUnit val="days"/>
      </c:dateAx>
      <c:valAx>
        <c:axId val="666485650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74416665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三、月销售额 本期vs上期 + 同比折线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numRef>
              <c:f>图表数据!$F$24:$F$35</c:f>
              <c:numCache>
                <c:formatCode>mmm\-yy</c:formatCode>
                <c:ptCount val="12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  <c:pt idx="5" c:formatCode="mmm\-yy">
                  <c:v>46082</c:v>
                </c:pt>
                <c:pt idx="6" c:formatCode="mmm\-yy">
                  <c:v>46113</c:v>
                </c:pt>
                <c:pt idx="7" c:formatCode="mmm\-yy">
                  <c:v>46143</c:v>
                </c:pt>
                <c:pt idx="8" c:formatCode="mmm\-yy">
                  <c:v>46174</c:v>
                </c:pt>
                <c:pt idx="9" c:formatCode="mmm\-yy">
                  <c:v>46204</c:v>
                </c:pt>
                <c:pt idx="10" c:formatCode="mmm\-yy">
                  <c:v>46235</c:v>
                </c:pt>
                <c:pt idx="11" c:formatCode="mmm\-yy">
                  <c:v>46266</c:v>
                </c:pt>
              </c:numCache>
            </c:numRef>
          </c:cat>
          <c:val>
            <c:numRef>
              <c:f>图表数据!$G$24:$G$35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numRef>
              <c:f>图表数据!$F$24:$F$35</c:f>
              <c:numCache>
                <c:formatCode>mmm\-yy</c:formatCode>
                <c:ptCount val="12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  <c:pt idx="5" c:formatCode="mmm\-yy">
                  <c:v>46082</c:v>
                </c:pt>
                <c:pt idx="6" c:formatCode="mmm\-yy">
                  <c:v>46113</c:v>
                </c:pt>
                <c:pt idx="7" c:formatCode="mmm\-yy">
                  <c:v>46143</c:v>
                </c:pt>
                <c:pt idx="8" c:formatCode="mmm\-yy">
                  <c:v>46174</c:v>
                </c:pt>
                <c:pt idx="9" c:formatCode="mmm\-yy">
                  <c:v>46204</c:v>
                </c:pt>
                <c:pt idx="10" c:formatCode="mmm\-yy">
                  <c:v>46235</c:v>
                </c:pt>
                <c:pt idx="11" c:formatCode="mmm\-yy">
                  <c:v>46266</c:v>
                </c:pt>
              </c:numCache>
            </c:numRef>
          </c:cat>
          <c:val>
            <c:numRef>
              <c:f>图表数据!$H$24:$H$35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116894"/>
        <c:axId val="287509559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图表数据!$F$24:$F$35</c:f>
              <c:numCache>
                <c:formatCode>mmm\-yy</c:formatCode>
                <c:ptCount val="12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  <c:pt idx="5" c:formatCode="mmm\-yy">
                  <c:v>46082</c:v>
                </c:pt>
                <c:pt idx="6" c:formatCode="mmm\-yy">
                  <c:v>46113</c:v>
                </c:pt>
                <c:pt idx="7" c:formatCode="mmm\-yy">
                  <c:v>46143</c:v>
                </c:pt>
                <c:pt idx="8" c:formatCode="mmm\-yy">
                  <c:v>46174</c:v>
                </c:pt>
                <c:pt idx="9" c:formatCode="mmm\-yy">
                  <c:v>46204</c:v>
                </c:pt>
                <c:pt idx="10" c:formatCode="mmm\-yy">
                  <c:v>46235</c:v>
                </c:pt>
                <c:pt idx="11" c:formatCode="mmm\-yy">
                  <c:v>46266</c:v>
                </c:pt>
              </c:numCache>
            </c:numRef>
          </c:cat>
          <c:val>
            <c:numRef>
              <c:f>图表数据!$I$24:$I$35</c:f>
              <c:numCache>
                <c:formatCode>0.0%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753204200"/>
        <c:axId val="993655132"/>
      </c:lineChart>
      <c:dateAx>
        <c:axId val="19411689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7509559"/>
        <c:crosses val="autoZero"/>
        <c:auto val="1"/>
        <c:lblOffset val="100"/>
        <c:baseTimeUnit val="days"/>
      </c:dateAx>
      <c:valAx>
        <c:axId val="287509559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4116894"/>
        <c:crosses val="autoZero"/>
        <c:crossBetween val="between"/>
      </c:valAx>
      <c:dateAx>
        <c:axId val="75320420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93655132"/>
        <c:crosses val="autoZero"/>
        <c:auto val="1"/>
        <c:lblOffset val="100"/>
        <c:baseTimeUnit val="days"/>
      </c:dateAx>
      <c:valAx>
        <c:axId val="993655132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53204200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三、年销售额 本期vs上期 + 同比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strRef>
              <c:f>图表数据!$F$39:$F$40</c:f>
              <c:strCache>
                <c:ptCount val="2"/>
                <c:pt idx="0">
                  <c:v>2025 年</c:v>
                </c:pt>
                <c:pt idx="1">
                  <c:v>2026 年</c:v>
                </c:pt>
              </c:strCache>
            </c:strRef>
          </c:cat>
          <c:val>
            <c:numRef>
              <c:f>图表数据!$G$39:$G$40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图表数据!$F$39:$F$40</c:f>
              <c:strCache>
                <c:ptCount val="2"/>
                <c:pt idx="0">
                  <c:v>2025 年</c:v>
                </c:pt>
                <c:pt idx="1">
                  <c:v>2026 年</c:v>
                </c:pt>
              </c:strCache>
            </c:strRef>
          </c:cat>
          <c:val>
            <c:numRef>
              <c:f>图表数据!$H$39:$H$40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683671"/>
        <c:axId val="342433831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图表数据!$F$39:$F$40</c:f>
              <c:strCache>
                <c:ptCount val="2"/>
                <c:pt idx="0">
                  <c:v>2025 年</c:v>
                </c:pt>
                <c:pt idx="1">
                  <c:v>2026 年</c:v>
                </c:pt>
              </c:strCache>
            </c:strRef>
          </c:cat>
          <c:val>
            <c:numRef>
              <c:f>图表数据!$I$39:$I$40</c:f>
              <c:numCache>
                <c:formatCode>0.0%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559495382"/>
        <c:axId val="579661617"/>
      </c:lineChart>
      <c:catAx>
        <c:axId val="19168367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42433831"/>
        <c:crosses val="autoZero"/>
        <c:auto val="1"/>
        <c:lblAlgn val="ctr"/>
        <c:lblOffset val="100"/>
        <c:noMultiLvlLbl val="0"/>
      </c:catAx>
      <c:valAx>
        <c:axId val="342433831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1683671"/>
        <c:crosses val="autoZero"/>
        <c:crossBetween val="between"/>
      </c:valAx>
      <c:catAx>
        <c:axId val="55949538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79661617"/>
        <c:crosses val="autoZero"/>
        <c:auto val="1"/>
        <c:lblAlgn val="ctr"/>
        <c:lblOffset val="100"/>
        <c:noMultiLvlLbl val="0"/>
      </c:catAx>
      <c:valAx>
        <c:axId val="579661617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59495382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四、月度/年度目标达成率（目标空心·实际实心·折线为完成率）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"目标"</c:f>
              <c:strCache>
                <c:ptCount val="1"/>
                <c:pt idx="0">
                  <c:v>目标</c:v>
                </c:pt>
              </c:strCache>
            </c:strRef>
          </c:tx>
          <c:spPr>
            <a:noFill/>
            <a:ln w="28575">
              <a:solidFill>
                <a:srgbClr val="969696"/>
              </a:solidFill>
            </a:ln>
            <a:sp3d contourW="28575"/>
          </c:spPr>
          <c:invertIfNegative val="0"/>
          <c:dLbls>
            <c:delete val="1"/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图表数据!$U$5:$U$6</c:f>
              <c:numCache>
                <c:formatCode>#,##0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"实际"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图表数据!$V$5:$V$6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733440"/>
        <c:axId val="128176022"/>
      </c:barChart>
      <c:lineChart>
        <c:grouping val="standard"/>
        <c:varyColors val="0"/>
        <c:ser>
          <c:idx val="2"/>
          <c:order val="2"/>
          <c:tx>
            <c:strRef>
              <c:f>"达成率"</c:f>
              <c:strCache>
                <c:ptCount val="1"/>
                <c:pt idx="0">
                  <c:v>达成率</c:v>
                </c:pt>
              </c:strCache>
            </c:strRef>
          </c:tx>
          <c:spPr>
            <a:ln w="38100" cap="rnd" cmpd="sng" algn="ctr">
              <a:solidFill>
                <a:srgbClr val="70AD47"/>
              </a:solidFill>
              <a:prstDash val="solid"/>
              <a:round/>
            </a:ln>
          </c:spPr>
          <c:marker>
            <c:symbol val="diamond"/>
            <c:size val="7"/>
            <c:spPr>
              <a:ln w="12700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图表数据!$W$5:$W$6</c:f>
              <c:numCache>
                <c:formatCode>0.0%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475338575"/>
        <c:axId val="445973596"/>
      </c:lineChart>
      <c:catAx>
        <c:axId val="59473344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8176022"/>
        <c:crosses val="autoZero"/>
        <c:auto val="1"/>
        <c:lblAlgn val="ctr"/>
        <c:lblOffset val="100"/>
        <c:noMultiLvlLbl val="0"/>
      </c:catAx>
      <c:valAx>
        <c:axId val="128176022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94733440"/>
        <c:crosses val="autoZero"/>
        <c:crossBetween val="between"/>
      </c:valAx>
      <c:catAx>
        <c:axId val="47533857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45973596"/>
        <c:crosses val="autoZero"/>
        <c:auto val="1"/>
        <c:lblAlgn val="ctr"/>
        <c:lblOffset val="100"/>
        <c:noMultiLvlLbl val="0"/>
      </c:catAx>
      <c:valAx>
        <c:axId val="445973596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75338575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五、广告ROI：目标(空心) vs 实际(实心)，折线为费比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"ROI目标"</c:f>
              <c:strCache>
                <c:ptCount val="1"/>
                <c:pt idx="0">
                  <c:v>ROI目标</c:v>
                </c:pt>
              </c:strCache>
            </c:strRef>
          </c:tx>
          <c:spPr>
            <a:noFill/>
            <a:ln w="28575">
              <a:solidFill>
                <a:srgbClr val="969696"/>
              </a:solidFill>
            </a:ln>
            <a:sp3d contourW="28575"/>
          </c:spPr>
          <c:invertIfNegative val="0"/>
          <c:dLbls>
            <c:delete val="1"/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图表数据!$U$11</c:f>
              <c:numCache>
                <c:formatCode>0.00</c:formatCode>
                <c:ptCount val="1"/>
                <c:pt idx="0">
                  <c:v>#N/A</c:v>
                </c:pt>
              </c:numCache>
            </c:numRef>
          </c:val>
        </c:ser>
        <c:ser>
          <c:idx val="1"/>
          <c:order val="1"/>
          <c:tx>
            <c:strRef>
              <c:f>"实际ROI"</c:f>
              <c:strCache>
                <c:ptCount val="1"/>
                <c:pt idx="0">
                  <c:v>实际ROI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图表数据!$V$11</c:f>
              <c:numCache>
                <c:formatCode>0.00</c:formatCode>
                <c:ptCount val="1"/>
                <c:pt idx="0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477931"/>
        <c:axId val="626465692"/>
      </c:barChart>
      <c:lineChart>
        <c:grouping val="standard"/>
        <c:varyColors val="0"/>
        <c:ser>
          <c:idx val="2"/>
          <c:order val="2"/>
          <c:tx>
            <c:strRef>
              <c:f>"费比"</c:f>
              <c:strCache>
                <c:ptCount val="1"/>
                <c:pt idx="0">
                  <c:v>费比</c:v>
                </c:pt>
              </c:strCache>
            </c:strRef>
          </c:tx>
          <c:spPr>
            <a:ln w="38100" cap="rnd" cmpd="sng" algn="ctr">
              <a:solidFill>
                <a:srgbClr val="70AD47"/>
              </a:solidFill>
              <a:prstDash val="solid"/>
              <a:round/>
            </a:ln>
          </c:spPr>
          <c:marker>
            <c:symbol val="diamond"/>
            <c:size val="7"/>
            <c:spPr>
              <a:ln w="12700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图表数据!$W$11</c:f>
              <c:numCache>
                <c:formatCode>0.0%</c:formatCode>
                <c:ptCount val="1"/>
                <c:pt idx="0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282226279"/>
        <c:axId val="563652367"/>
      </c:lineChart>
      <c:catAx>
        <c:axId val="19247793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26465692"/>
        <c:crosses val="autoZero"/>
        <c:auto val="1"/>
        <c:lblAlgn val="ctr"/>
        <c:lblOffset val="100"/>
        <c:noMultiLvlLbl val="0"/>
      </c:catAx>
      <c:valAx>
        <c:axId val="62646569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477931"/>
        <c:crosses val="autoZero"/>
        <c:crossBetween val="between"/>
      </c:valAx>
      <c:catAx>
        <c:axId val="28222627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3652367"/>
        <c:crosses val="autoZero"/>
        <c:auto val="1"/>
        <c:lblAlgn val="ctr"/>
        <c:lblOffset val="100"/>
        <c:noMultiLvlLbl val="0"/>
      </c:catAx>
      <c:valAx>
        <c:axId val="563652367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2226279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七、公司商品销售额构成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Lbls>
            <c:delete val="1"/>
          </c:dLbls>
          <c:cat>
            <c:numRef>
              <c:f>图表数据!$T$17:$T$28</c:f>
              <c:numCache>
                <c:formatCode>General</c:formatCode>
                <c:ptCount val="12"/>
              </c:numCache>
            </c:numRef>
          </c:cat>
          <c:val>
            <c:numRef>
              <c:f>图表数据!$U$17:$U$28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4318000</xdr:colOff>
      <xdr:row>9</xdr:row>
      <xdr:rowOff>88900</xdr:rowOff>
    </xdr:from>
    <xdr:to>
      <xdr:col>3</xdr:col>
      <xdr:colOff>1854200</xdr:colOff>
      <xdr:row>31</xdr:row>
      <xdr:rowOff>127000</xdr:rowOff>
    </xdr:to>
    <xdr:graphicFrame>
      <xdr:nvGraphicFramePr>
        <xdr:cNvPr id="2" name="c7b"/>
        <xdr:cNvGraphicFramePr/>
      </xdr:nvGraphicFramePr>
      <xdr:xfrm>
        <a:off x="4318000" y="1651000"/>
        <a:ext cx="5461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254000</xdr:colOff>
      <xdr:row>6</xdr:row>
      <xdr:rowOff>0</xdr:rowOff>
    </xdr:from>
    <xdr:to>
      <xdr:col>9</xdr:col>
      <xdr:colOff>50800</xdr:colOff>
      <xdr:row>28</xdr:row>
      <xdr:rowOff>38100</xdr:rowOff>
    </xdr:to>
    <xdr:graphicFrame>
      <xdr:nvGraphicFramePr>
        <xdr:cNvPr id="2" name="c1"/>
        <xdr:cNvGraphicFramePr/>
      </xdr:nvGraphicFramePr>
      <xdr:xfrm>
        <a:off x="254000" y="1152525"/>
        <a:ext cx="5969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6</xdr:row>
      <xdr:rowOff>0</xdr:rowOff>
    </xdr:from>
    <xdr:to>
      <xdr:col>17</xdr:col>
      <xdr:colOff>279400</xdr:colOff>
      <xdr:row>28</xdr:row>
      <xdr:rowOff>38100</xdr:rowOff>
    </xdr:to>
    <xdr:graphicFrame>
      <xdr:nvGraphicFramePr>
        <xdr:cNvPr id="3" name="c2"/>
        <xdr:cNvGraphicFramePr/>
      </xdr:nvGraphicFramePr>
      <xdr:xfrm>
        <a:off x="6477000" y="1152525"/>
        <a:ext cx="903287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29</xdr:row>
      <xdr:rowOff>120650</xdr:rowOff>
    </xdr:from>
    <xdr:to>
      <xdr:col>9</xdr:col>
      <xdr:colOff>50800</xdr:colOff>
      <xdr:row>48</xdr:row>
      <xdr:rowOff>38100</xdr:rowOff>
    </xdr:to>
    <xdr:graphicFrame>
      <xdr:nvGraphicFramePr>
        <xdr:cNvPr id="4" name="c3d"/>
        <xdr:cNvGraphicFramePr/>
      </xdr:nvGraphicFramePr>
      <xdr:xfrm>
        <a:off x="254000" y="5216525"/>
        <a:ext cx="5969000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29</xdr:row>
      <xdr:rowOff>120650</xdr:rowOff>
    </xdr:from>
    <xdr:to>
      <xdr:col>18</xdr:col>
      <xdr:colOff>101600</xdr:colOff>
      <xdr:row>48</xdr:row>
      <xdr:rowOff>38100</xdr:rowOff>
    </xdr:to>
    <xdr:graphicFrame>
      <xdr:nvGraphicFramePr>
        <xdr:cNvPr id="5" name="c3m"/>
        <xdr:cNvGraphicFramePr/>
      </xdr:nvGraphicFramePr>
      <xdr:xfrm>
        <a:off x="6477000" y="5216525"/>
        <a:ext cx="954087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73</xdr:row>
      <xdr:rowOff>69850</xdr:rowOff>
    </xdr:from>
    <xdr:to>
      <xdr:col>9</xdr:col>
      <xdr:colOff>50800</xdr:colOff>
      <xdr:row>91</xdr:row>
      <xdr:rowOff>158750</xdr:rowOff>
    </xdr:to>
    <xdr:graphicFrame>
      <xdr:nvGraphicFramePr>
        <xdr:cNvPr id="6" name="c3y"/>
        <xdr:cNvGraphicFramePr/>
      </xdr:nvGraphicFramePr>
      <xdr:xfrm>
        <a:off x="254000" y="12709525"/>
        <a:ext cx="5969000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304800</xdr:colOff>
      <xdr:row>50</xdr:row>
      <xdr:rowOff>76200</xdr:rowOff>
    </xdr:from>
    <xdr:to>
      <xdr:col>17</xdr:col>
      <xdr:colOff>279400</xdr:colOff>
      <xdr:row>71</xdr:row>
      <xdr:rowOff>158750</xdr:rowOff>
    </xdr:to>
    <xdr:graphicFrame>
      <xdr:nvGraphicFramePr>
        <xdr:cNvPr id="7" name="c4"/>
        <xdr:cNvGraphicFramePr/>
      </xdr:nvGraphicFramePr>
      <xdr:xfrm>
        <a:off x="6477000" y="8772525"/>
        <a:ext cx="9032875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101600</xdr:colOff>
      <xdr:row>6</xdr:row>
      <xdr:rowOff>0</xdr:rowOff>
    </xdr:from>
    <xdr:to>
      <xdr:col>26</xdr:col>
      <xdr:colOff>76200</xdr:colOff>
      <xdr:row>27</xdr:row>
      <xdr:rowOff>82550</xdr:rowOff>
    </xdr:to>
    <xdr:graphicFrame>
      <xdr:nvGraphicFramePr>
        <xdr:cNvPr id="8" name="c5"/>
        <xdr:cNvGraphicFramePr/>
      </xdr:nvGraphicFramePr>
      <xdr:xfrm>
        <a:off x="16017875" y="1152525"/>
        <a:ext cx="5461000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644525</xdr:colOff>
      <xdr:row>29</xdr:row>
      <xdr:rowOff>111125</xdr:rowOff>
    </xdr:from>
    <xdr:to>
      <xdr:col>20</xdr:col>
      <xdr:colOff>619125</xdr:colOff>
      <xdr:row>51</xdr:row>
      <xdr:rowOff>149225</xdr:rowOff>
    </xdr:to>
    <xdr:graphicFrame>
      <xdr:nvGraphicFramePr>
        <xdr:cNvPr id="9" name="c7a"/>
        <xdr:cNvGraphicFramePr/>
      </xdr:nvGraphicFramePr>
      <xdr:xfrm>
        <a:off x="12446000" y="5207000"/>
        <a:ext cx="5461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503356481" recordCount="391">
  <cacheSource type="worksheet">
    <worksheetSource ref="A1:M392" sheet="指标总览"/>
  </cacheSource>
  <cacheFields count="13">
    <cacheField name="平台" numFmtId="0">
      <sharedItems count="1">
        <s v="京东"/>
      </sharedItems>
    </cacheField>
    <cacheField name="店铺/品牌" numFmtId="0">
      <sharedItems containsNumber="1" containsInteger="1" containsMixedTypes="1" count="3">
        <n v="11623441"/>
        <s v="小巴依-奔羊羊"/>
        <s v="未标注"/>
      </sharedItems>
    </cacheField>
    <cacheField name="报表类型" numFmtId="0">
      <sharedItems count="8">
        <s v="交易概况"/>
        <s v="流量概况-核心指标"/>
        <s v="流量来源_流量结构分析_场域来源"/>
        <s v="商品概况"/>
        <s v="商品明细"/>
        <s v="报表中心_计划_30天_点击_不含赠品_成交订单"/>
        <s v="全站营销_推广管理_单品推广"/>
        <s v="用户洞察-数据概览"/>
      </sharedItems>
    </cacheField>
    <cacheField name="时间粒度" numFmtId="0">
      <sharedItems count="3">
        <s v="分天"/>
        <s v="汇总"/>
        <s v="未标注"/>
      </sharedItems>
    </cacheField>
    <cacheField name="统计区间" numFmtId="0">
      <sharedItems count="4">
        <s v="2026-09-28 ~ 2026-09-28"/>
        <s v="2026-09-29 00:00:00 ~ 2026-09-29 10:00:41"/>
        <s v="2026-09-29 00:00:00 ~ 2026-09-29 10:00:21"/>
        <s v="2026-09-23 ~ 2026-09-29"/>
      </sharedItems>
    </cacheField>
    <cacheField name="列序号" numFmtId="0">
      <sharedItems containsSemiMixedTypes="0" containsString="0" containsNumber="1" containsInteger="1" minValue="0" maxValue="130" count="1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原始列名" numFmtId="0">
      <sharedItems count="276">
        <s v="时间"/>
        <s v="成交金额"/>
        <s v="成交金额-对比日"/>
        <s v="成交金额-较对比日"/>
        <s v="成交商品件数"/>
        <s v="成交商品件数-对比日"/>
        <s v="成交商品件数-较对比日"/>
        <s v="成交客户数"/>
        <s v="成交客户数-对比日"/>
        <s v="成交客户数-较对比日"/>
        <s v="成交单量"/>
        <s v="成交单量-对比日"/>
        <s v="成交单量-较对比日"/>
        <s v="店铺成交转化率"/>
        <s v="店铺成交转化率-对比日"/>
        <s v="店铺成交转化率-较对比日"/>
        <s v="客单价"/>
        <s v="客单价-对比日"/>
        <s v="客单价-较对比日"/>
        <s v="店铺浏览量"/>
        <s v="店铺浏览量-对比日"/>
        <s v="店铺浏览量-较对比日"/>
        <s v="店铺访客数"/>
        <s v="店铺访客数-对比日"/>
        <s v="店铺访客数-较对比日"/>
        <s v="店铺平均停留时长"/>
        <s v="店铺平均停留时长-对比日"/>
        <s v="店铺平均停留时长-较对比日"/>
        <s v="加购客户数"/>
        <s v="加购客户数-对比日"/>
        <s v="加购客户数-较对比日"/>
        <s v="加购商品件数"/>
        <s v="加购商品件数-对比日"/>
        <s v="加购商品件数-较对比日"/>
        <s v="加购转化率"/>
        <s v="加购转化率-对比日"/>
        <s v="加购转化率-较对比日"/>
        <s v="商品成交转化率"/>
        <s v="商品成交转化率-对比日"/>
        <s v="商品成交转化率-较对比日"/>
        <s v="件单价"/>
        <s v="件单价-对比日"/>
        <s v="件单价-较对比日"/>
        <s v="UV价值"/>
        <s v="UV价值-对比日"/>
        <s v="UV价值-较对比日"/>
        <s v="店铺人均浏览量"/>
        <s v="店铺人均浏览量-对比日"/>
        <s v="店铺人均浏览量-较对比日"/>
        <s v="商品浏览量"/>
        <s v="商品浏览量-对比日"/>
        <s v="商品浏览量-较对比日"/>
        <s v="商品访客数"/>
        <s v="商品访客数-对比日"/>
        <s v="商品访客数-较对比日"/>
        <s v="商品人均浏览量"/>
        <s v="商品人均浏览量-对比日"/>
        <s v="商品人均浏览量-较对比日"/>
        <s v="商详平均停留时长"/>
        <s v="商详平均停留时长-对比日"/>
        <s v="商详平均停留时长-较对比日"/>
        <s v="加购商品件数（正向）"/>
        <s v="加购商品件数（正向）-对比日"/>
        <s v="加购商品件数（正向）-较对比日"/>
        <s v="加购商品件数（负向）"/>
        <s v="加购商品件数（负向）-对比日"/>
        <s v="加购商品件数（负向）-较对比日"/>
        <s v="下单金额"/>
        <s v="下单金额-对比日"/>
        <s v="下单金额-较对比日"/>
        <s v="下单商品件数"/>
        <s v="下单商品件数-对比日"/>
        <s v="下单商品件数-较对比日"/>
        <s v="下单单量"/>
        <s v="下单单量-对比日"/>
        <s v="下单单量-较对比日"/>
        <s v="下单客户数"/>
        <s v="下单客户数-对比日"/>
        <s v="下单客户数-较对比日"/>
        <s v="下单转化率"/>
        <s v="下单转化率-对比日"/>
        <s v="下单转化率-较对比日"/>
        <s v="下单成交转化率"/>
        <s v="下单成交转化率-对比日"/>
        <s v="下单成交转化率-较对比日"/>
        <s v="退款金额"/>
        <s v="退款金额-对比日"/>
        <s v="退款金额-较对比日"/>
        <s v="退款商品件数"/>
        <s v="退款商品件数-对比日"/>
        <s v="退款商品件数-较对比日"/>
        <s v="退款单量"/>
        <s v="退款单量-对比日"/>
        <s v="退款单量-较对比日"/>
        <s v="发货前-退款金额"/>
        <s v="发货前-退款金额-对比日"/>
        <s v="发货前-退款金额-较对比日"/>
        <s v="发货前-退款商品件数"/>
        <s v="发货前-退款商品件数-对比日"/>
        <s v="发货前-退款商品件数-较对比日"/>
        <s v="发货前-退款单量"/>
        <s v="发货前-退款单量-对比日"/>
        <s v="发货前-退款单量-较对比日"/>
        <s v="未收货-退款金额"/>
        <s v="未收货-退款金额-对比日"/>
        <s v="未收货-退款金额-较对比日"/>
        <s v="未收货-退款商品件数"/>
        <s v="未收货-退款商品件数-对比日"/>
        <s v="未收货-退款商品件数-较对比日"/>
        <s v="未收货-退款单量"/>
        <s v="未收货-退款单量-对比日"/>
        <s v="未收货-退款单量-较对比日"/>
        <s v="已收货-退款金额"/>
        <s v="已收货-退款金额-对比日"/>
        <s v="已收货-退款金额-较对比日"/>
        <s v="已收货-退款商品件数"/>
        <s v="已收货-退款商品件数-对比日"/>
        <s v="已收货-退款商品件数-较对比日"/>
        <s v="已收货-退款单量"/>
        <s v="已收货-退款单量-对比日"/>
        <s v="已收货-退款单量-较对比日"/>
        <s v="已收货-退货退款金额"/>
        <s v="已收货-退货退款金额-对比日"/>
        <s v="已收货-退货退款金额-较对比日"/>
        <s v="已收货-退货退款商品件数"/>
        <s v="已收货-退货退款商品件数-对比日"/>
        <s v="已收货-退货退款商品件数-较对比日"/>
        <s v="已收货-退货退款单量"/>
        <s v="已收货-退货退款单量-对比日"/>
        <s v="已收货-退货退款单量-较对比日"/>
        <s v="商品平均停留时长"/>
        <s v="商品平均停留时长-对比日"/>
        <s v="商品平均停留时长-较对比日"/>
        <s v="商品曝光次数"/>
        <s v="商品曝光次数-对比日"/>
        <s v="商品曝光次数-较对比日"/>
        <s v="商品曝光人数"/>
        <s v="商品曝光人数-对比日"/>
        <s v="商品曝光人数-较对比日"/>
        <s v="加购金额"/>
        <s v="加购金额-对比日"/>
        <s v="加购金额-较对比日"/>
        <s v="成交转化率"/>
        <s v="成交转化率-对比日"/>
        <s v="成交转化率-较对比日"/>
        <s v="一级渠道"/>
        <s v="二级渠道"/>
        <s v="三级渠道"/>
        <s v="四级渠道"/>
        <s v="引入商详访客数"/>
        <s v="引入商详访客数-对比日"/>
        <s v="引入商详访客数-较对比日"/>
        <s v="引入商详浏览量"/>
        <s v="引入商详浏览量-对比日"/>
        <s v="引入商详浏览量-较对比日"/>
        <s v="引入成交客户数"/>
        <s v="引入成交客户数-对比日"/>
        <s v="引入成交客户数-较对比日"/>
        <s v="引入成交金额"/>
        <s v="引入成交金额-对比日"/>
        <s v="引入成交金额-较对比日"/>
        <s v="引入成交商品件数"/>
        <s v="引入成交商品件数-对比日"/>
        <s v="引入成交商品件数-较对比日"/>
        <s v="引入成交单量"/>
        <s v="引入成交单量-对比日"/>
        <s v="引入成交单量-较对比日"/>
        <s v="访客-成交转化率"/>
        <s v="访客-成交转化率-对比日"/>
        <s v="访客-成交转化率-较对比日"/>
        <s v="浏览-成交转化率"/>
        <s v="浏览-成交转化率-对比日"/>
        <s v="浏览-成交转化率-较对比日"/>
        <s v="动销spu数"/>
        <s v="动销spu数-对比日"/>
        <s v="动销spu数-较对比日"/>
        <s v="spu动销率"/>
        <s v="spu动销率-对比日"/>
        <s v="spu动销率-较对比日"/>
        <s v="加购spu数"/>
        <s v="加购spu数-对比日"/>
        <s v="加购spu数-较对比日"/>
        <s v="spu加购率"/>
        <s v="spu加购率-对比日"/>
        <s v="spu加购率-较对比日"/>
        <s v="访问spu数"/>
        <s v="访问spu数-对比日"/>
        <s v="访问spu数-较对比日"/>
        <s v="上架spu数"/>
        <s v="上架spu数-对比日"/>
        <s v="上架spu数-较对比日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进店客户数同比"/>
        <s v="加购客户数同比"/>
        <s v="下单客户数同比"/>
        <s v="成交客户数同比"/>
        <s v="出库客户数"/>
        <s v="出库客户数同比"/>
        <s v="复购客户数"/>
        <s v="复购客户数同比"/>
        <s v="浏览-加购率"/>
        <s v="浏览-加购率同比"/>
        <s v="加购-下单率"/>
        <s v="加购-下单率同比"/>
        <s v="下单-成交率"/>
        <s v="下单-成交率同比"/>
        <s v="成交-出库率"/>
        <s v="成交-出库率同比"/>
        <s v="出库-复购率"/>
        <s v="出库-复购率同比"/>
        <s v="浏览-下单率"/>
        <s v="浏览-下单率同比"/>
        <s v="成交-复购率"/>
        <s v="成交-复购率同比"/>
      </sharedItems>
    </cacheField>
    <cacheField name="基础指标名" numFmtId="0">
      <sharedItems count="139">
        <s v="时间"/>
        <s v="成交金额"/>
        <s v="成交商品件数"/>
        <s v="成交客户数"/>
        <s v="成交单量"/>
        <s v="店铺成交转化率"/>
        <s v="客单价"/>
        <s v="店铺浏览量"/>
        <s v="店铺访客数"/>
        <s v="店铺平均停留时长"/>
        <s v="加购客户数"/>
        <s v="加购商品件数"/>
        <s v="加购转化率"/>
        <s v="商品成交转化率"/>
        <s v="件单价"/>
        <s v="UV价值"/>
        <s v="店铺人均浏览量"/>
        <s v="商品浏览量"/>
        <s v="商品访客数"/>
        <s v="商品人均浏览量"/>
        <s v="商详平均停留时长"/>
        <s v="加购商品件数（正向）"/>
        <s v="加购商品件数（负向）"/>
        <s v="下单金额"/>
        <s v="下单商品件数"/>
        <s v="下单单量"/>
        <s v="下单客户数"/>
        <s v="下单转化率"/>
        <s v="下单成交转化率"/>
        <s v="退款金额"/>
        <s v="退款商品件数"/>
        <s v="退款单量"/>
        <s v="发货前-退款金额"/>
        <s v="发货前-退款商品件数"/>
        <s v="发货前-退款单量"/>
        <s v="未收货-退款金额"/>
        <s v="未收货-退款商品件数"/>
        <s v="未收货-退款单量"/>
        <s v="已收货-退款金额"/>
        <s v="已收货-退款商品件数"/>
        <s v="已收货-退款单量"/>
        <s v="已收货-退货退款金额"/>
        <s v="已收货-退货退款商品件数"/>
        <s v="已收货-退货退款单量"/>
        <s v="商品平均停留时长"/>
        <s v="商品曝光次数"/>
        <s v="商品曝光人数"/>
        <s v="加购金额"/>
        <s v="成交转化率"/>
        <s v="一级渠道"/>
        <s v="二级渠道"/>
        <s v="三级渠道"/>
        <s v="四级渠道"/>
        <s v="引入商详访客数"/>
        <s v="引入商详浏览量"/>
        <s v="引入成交客户数"/>
        <s v="引入成交金额"/>
        <s v="引入成交商品件数"/>
        <s v="引入成交单量"/>
        <s v="访客-成交转化率"/>
        <s v="浏览-成交转化率"/>
        <s v="动销spu数"/>
        <s v="spu动销率"/>
        <s v="加购spu数"/>
        <s v="spu加购率"/>
        <s v="访问spu数"/>
        <s v="上架spu数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出库客户数"/>
        <s v="复购客户数"/>
        <s v="浏览-加购率"/>
        <s v="加购-下单率"/>
        <s v="下单-成交率"/>
        <s v="成交-出库率"/>
        <s v="出库-复购率"/>
        <s v="浏览-下单率"/>
        <s v="成交-复购率"/>
      </sharedItems>
    </cacheField>
    <cacheField name="列角色" numFmtId="0">
      <sharedItems count="5">
        <s v="维度"/>
        <s v="本期值"/>
        <s v="对比日"/>
        <s v="较对比日"/>
        <s v="同比"/>
      </sharedItems>
    </cacheField>
    <cacheField name="是否度量" numFmtId="0">
      <sharedItems count="2">
        <s v="否"/>
        <s v="是"/>
      </sharedItems>
    </cacheField>
    <cacheField name="本期首行值" numFmtId="0">
      <sharedItems count="1">
        <s v="待填充"/>
      </sharedItems>
    </cacheField>
    <cacheField name="推断数据类型" numFmtId="0">
      <sharedItems count="3">
        <s v="文本"/>
        <s v="小数"/>
        <s v="整数"/>
      </sharedItems>
    </cacheField>
    <cacheField name="来源文件" numFmtId="0">
      <sharedItems count="8">
        <s v="11623441_交易概况_包括对比时间_离线_分天下载_2026-09-28_2026-09-28.xlsx"/>
        <s v="11623441_流量概况-核心指标_分天下载_2026-09-28_2026-09-28.xlsx"/>
        <s v="11623441_流量来源_流量结构分析_场域来源_实时_汇总下载_2026-09-29_00_00_00_2026-09-29_10_00_41.xlsx"/>
        <s v="11623441_商品概况_离线_分天下载_2026-09-28_2026-09-28.xlsx"/>
        <s v="11623441_商品明细_实时_汇总下载_2026-09-29_00_00_00_2026-09-29_10_00_21.xlsx"/>
        <s v="小巴依-奔羊羊_报表中心_计划_30天_点击_不含赠品_成交订单_20260923_20260929.csv"/>
        <s v="小巴依-奔羊羊_全站营销_推广管理_单品推广_20260923_20260929.csv"/>
        <s v="用户洞察-数据概览-2026.09.28-同比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0"/>
  </r>
  <r>
    <x v="0"/>
    <x v="0"/>
    <x v="0"/>
    <x v="0"/>
    <x v="0"/>
    <x v="2"/>
    <x v="2"/>
    <x v="1"/>
    <x v="2"/>
    <x v="1"/>
    <x v="0"/>
    <x v="1"/>
    <x v="0"/>
  </r>
  <r>
    <x v="0"/>
    <x v="0"/>
    <x v="0"/>
    <x v="0"/>
    <x v="0"/>
    <x v="3"/>
    <x v="3"/>
    <x v="1"/>
    <x v="3"/>
    <x v="1"/>
    <x v="0"/>
    <x v="1"/>
    <x v="0"/>
  </r>
  <r>
    <x v="0"/>
    <x v="0"/>
    <x v="0"/>
    <x v="0"/>
    <x v="0"/>
    <x v="4"/>
    <x v="4"/>
    <x v="2"/>
    <x v="1"/>
    <x v="1"/>
    <x v="0"/>
    <x v="2"/>
    <x v="0"/>
  </r>
  <r>
    <x v="0"/>
    <x v="0"/>
    <x v="0"/>
    <x v="0"/>
    <x v="0"/>
    <x v="5"/>
    <x v="5"/>
    <x v="2"/>
    <x v="2"/>
    <x v="1"/>
    <x v="0"/>
    <x v="2"/>
    <x v="0"/>
  </r>
  <r>
    <x v="0"/>
    <x v="0"/>
    <x v="0"/>
    <x v="0"/>
    <x v="0"/>
    <x v="6"/>
    <x v="6"/>
    <x v="2"/>
    <x v="3"/>
    <x v="1"/>
    <x v="0"/>
    <x v="2"/>
    <x v="0"/>
  </r>
  <r>
    <x v="0"/>
    <x v="0"/>
    <x v="0"/>
    <x v="0"/>
    <x v="0"/>
    <x v="7"/>
    <x v="7"/>
    <x v="3"/>
    <x v="1"/>
    <x v="1"/>
    <x v="0"/>
    <x v="2"/>
    <x v="0"/>
  </r>
  <r>
    <x v="0"/>
    <x v="0"/>
    <x v="0"/>
    <x v="0"/>
    <x v="0"/>
    <x v="8"/>
    <x v="8"/>
    <x v="3"/>
    <x v="2"/>
    <x v="1"/>
    <x v="0"/>
    <x v="2"/>
    <x v="0"/>
  </r>
  <r>
    <x v="0"/>
    <x v="0"/>
    <x v="0"/>
    <x v="0"/>
    <x v="0"/>
    <x v="9"/>
    <x v="9"/>
    <x v="3"/>
    <x v="3"/>
    <x v="1"/>
    <x v="0"/>
    <x v="2"/>
    <x v="0"/>
  </r>
  <r>
    <x v="0"/>
    <x v="0"/>
    <x v="0"/>
    <x v="0"/>
    <x v="0"/>
    <x v="10"/>
    <x v="10"/>
    <x v="4"/>
    <x v="1"/>
    <x v="1"/>
    <x v="0"/>
    <x v="2"/>
    <x v="0"/>
  </r>
  <r>
    <x v="0"/>
    <x v="0"/>
    <x v="0"/>
    <x v="0"/>
    <x v="0"/>
    <x v="11"/>
    <x v="11"/>
    <x v="4"/>
    <x v="2"/>
    <x v="1"/>
    <x v="0"/>
    <x v="2"/>
    <x v="0"/>
  </r>
  <r>
    <x v="0"/>
    <x v="0"/>
    <x v="0"/>
    <x v="0"/>
    <x v="0"/>
    <x v="12"/>
    <x v="12"/>
    <x v="4"/>
    <x v="3"/>
    <x v="1"/>
    <x v="0"/>
    <x v="2"/>
    <x v="0"/>
  </r>
  <r>
    <x v="0"/>
    <x v="0"/>
    <x v="0"/>
    <x v="0"/>
    <x v="0"/>
    <x v="13"/>
    <x v="13"/>
    <x v="5"/>
    <x v="1"/>
    <x v="1"/>
    <x v="0"/>
    <x v="1"/>
    <x v="0"/>
  </r>
  <r>
    <x v="0"/>
    <x v="0"/>
    <x v="0"/>
    <x v="0"/>
    <x v="0"/>
    <x v="14"/>
    <x v="14"/>
    <x v="5"/>
    <x v="2"/>
    <x v="1"/>
    <x v="0"/>
    <x v="1"/>
    <x v="0"/>
  </r>
  <r>
    <x v="0"/>
    <x v="0"/>
    <x v="0"/>
    <x v="0"/>
    <x v="0"/>
    <x v="15"/>
    <x v="15"/>
    <x v="5"/>
    <x v="3"/>
    <x v="1"/>
    <x v="0"/>
    <x v="1"/>
    <x v="0"/>
  </r>
  <r>
    <x v="0"/>
    <x v="0"/>
    <x v="0"/>
    <x v="0"/>
    <x v="0"/>
    <x v="16"/>
    <x v="16"/>
    <x v="6"/>
    <x v="1"/>
    <x v="1"/>
    <x v="0"/>
    <x v="1"/>
    <x v="0"/>
  </r>
  <r>
    <x v="0"/>
    <x v="0"/>
    <x v="0"/>
    <x v="0"/>
    <x v="0"/>
    <x v="17"/>
    <x v="17"/>
    <x v="6"/>
    <x v="2"/>
    <x v="1"/>
    <x v="0"/>
    <x v="1"/>
    <x v="0"/>
  </r>
  <r>
    <x v="0"/>
    <x v="0"/>
    <x v="0"/>
    <x v="0"/>
    <x v="0"/>
    <x v="18"/>
    <x v="18"/>
    <x v="6"/>
    <x v="3"/>
    <x v="1"/>
    <x v="0"/>
    <x v="1"/>
    <x v="0"/>
  </r>
  <r>
    <x v="0"/>
    <x v="0"/>
    <x v="0"/>
    <x v="0"/>
    <x v="0"/>
    <x v="19"/>
    <x v="19"/>
    <x v="7"/>
    <x v="1"/>
    <x v="1"/>
    <x v="0"/>
    <x v="2"/>
    <x v="0"/>
  </r>
  <r>
    <x v="0"/>
    <x v="0"/>
    <x v="0"/>
    <x v="0"/>
    <x v="0"/>
    <x v="20"/>
    <x v="20"/>
    <x v="7"/>
    <x v="2"/>
    <x v="1"/>
    <x v="0"/>
    <x v="2"/>
    <x v="0"/>
  </r>
  <r>
    <x v="0"/>
    <x v="0"/>
    <x v="0"/>
    <x v="0"/>
    <x v="0"/>
    <x v="21"/>
    <x v="21"/>
    <x v="7"/>
    <x v="3"/>
    <x v="1"/>
    <x v="0"/>
    <x v="2"/>
    <x v="0"/>
  </r>
  <r>
    <x v="0"/>
    <x v="0"/>
    <x v="0"/>
    <x v="0"/>
    <x v="0"/>
    <x v="22"/>
    <x v="22"/>
    <x v="8"/>
    <x v="1"/>
    <x v="1"/>
    <x v="0"/>
    <x v="2"/>
    <x v="0"/>
  </r>
  <r>
    <x v="0"/>
    <x v="0"/>
    <x v="0"/>
    <x v="0"/>
    <x v="0"/>
    <x v="23"/>
    <x v="23"/>
    <x v="8"/>
    <x v="2"/>
    <x v="1"/>
    <x v="0"/>
    <x v="2"/>
    <x v="0"/>
  </r>
  <r>
    <x v="0"/>
    <x v="0"/>
    <x v="0"/>
    <x v="0"/>
    <x v="0"/>
    <x v="24"/>
    <x v="24"/>
    <x v="8"/>
    <x v="3"/>
    <x v="1"/>
    <x v="0"/>
    <x v="2"/>
    <x v="0"/>
  </r>
  <r>
    <x v="0"/>
    <x v="0"/>
    <x v="0"/>
    <x v="0"/>
    <x v="0"/>
    <x v="25"/>
    <x v="25"/>
    <x v="9"/>
    <x v="1"/>
    <x v="1"/>
    <x v="0"/>
    <x v="1"/>
    <x v="0"/>
  </r>
  <r>
    <x v="0"/>
    <x v="0"/>
    <x v="0"/>
    <x v="0"/>
    <x v="0"/>
    <x v="26"/>
    <x v="26"/>
    <x v="9"/>
    <x v="2"/>
    <x v="1"/>
    <x v="0"/>
    <x v="1"/>
    <x v="0"/>
  </r>
  <r>
    <x v="0"/>
    <x v="0"/>
    <x v="0"/>
    <x v="0"/>
    <x v="0"/>
    <x v="27"/>
    <x v="27"/>
    <x v="9"/>
    <x v="3"/>
    <x v="1"/>
    <x v="0"/>
    <x v="1"/>
    <x v="0"/>
  </r>
  <r>
    <x v="0"/>
    <x v="0"/>
    <x v="0"/>
    <x v="0"/>
    <x v="0"/>
    <x v="28"/>
    <x v="28"/>
    <x v="10"/>
    <x v="1"/>
    <x v="1"/>
    <x v="0"/>
    <x v="2"/>
    <x v="0"/>
  </r>
  <r>
    <x v="0"/>
    <x v="0"/>
    <x v="0"/>
    <x v="0"/>
    <x v="0"/>
    <x v="29"/>
    <x v="29"/>
    <x v="10"/>
    <x v="2"/>
    <x v="1"/>
    <x v="0"/>
    <x v="2"/>
    <x v="0"/>
  </r>
  <r>
    <x v="0"/>
    <x v="0"/>
    <x v="0"/>
    <x v="0"/>
    <x v="0"/>
    <x v="30"/>
    <x v="30"/>
    <x v="10"/>
    <x v="3"/>
    <x v="1"/>
    <x v="0"/>
    <x v="2"/>
    <x v="0"/>
  </r>
  <r>
    <x v="0"/>
    <x v="0"/>
    <x v="0"/>
    <x v="0"/>
    <x v="0"/>
    <x v="31"/>
    <x v="31"/>
    <x v="11"/>
    <x v="1"/>
    <x v="1"/>
    <x v="0"/>
    <x v="2"/>
    <x v="0"/>
  </r>
  <r>
    <x v="0"/>
    <x v="0"/>
    <x v="0"/>
    <x v="0"/>
    <x v="0"/>
    <x v="32"/>
    <x v="32"/>
    <x v="11"/>
    <x v="2"/>
    <x v="1"/>
    <x v="0"/>
    <x v="2"/>
    <x v="0"/>
  </r>
  <r>
    <x v="0"/>
    <x v="0"/>
    <x v="0"/>
    <x v="0"/>
    <x v="0"/>
    <x v="33"/>
    <x v="33"/>
    <x v="11"/>
    <x v="3"/>
    <x v="1"/>
    <x v="0"/>
    <x v="2"/>
    <x v="0"/>
  </r>
  <r>
    <x v="0"/>
    <x v="0"/>
    <x v="0"/>
    <x v="0"/>
    <x v="0"/>
    <x v="34"/>
    <x v="34"/>
    <x v="12"/>
    <x v="1"/>
    <x v="1"/>
    <x v="0"/>
    <x v="1"/>
    <x v="0"/>
  </r>
  <r>
    <x v="0"/>
    <x v="0"/>
    <x v="0"/>
    <x v="0"/>
    <x v="0"/>
    <x v="35"/>
    <x v="35"/>
    <x v="12"/>
    <x v="2"/>
    <x v="1"/>
    <x v="0"/>
    <x v="1"/>
    <x v="0"/>
  </r>
  <r>
    <x v="0"/>
    <x v="0"/>
    <x v="0"/>
    <x v="0"/>
    <x v="0"/>
    <x v="36"/>
    <x v="36"/>
    <x v="12"/>
    <x v="3"/>
    <x v="1"/>
    <x v="0"/>
    <x v="1"/>
    <x v="0"/>
  </r>
  <r>
    <x v="0"/>
    <x v="0"/>
    <x v="0"/>
    <x v="0"/>
    <x v="0"/>
    <x v="37"/>
    <x v="37"/>
    <x v="13"/>
    <x v="1"/>
    <x v="1"/>
    <x v="0"/>
    <x v="1"/>
    <x v="0"/>
  </r>
  <r>
    <x v="0"/>
    <x v="0"/>
    <x v="0"/>
    <x v="0"/>
    <x v="0"/>
    <x v="38"/>
    <x v="38"/>
    <x v="13"/>
    <x v="2"/>
    <x v="1"/>
    <x v="0"/>
    <x v="1"/>
    <x v="0"/>
  </r>
  <r>
    <x v="0"/>
    <x v="0"/>
    <x v="0"/>
    <x v="0"/>
    <x v="0"/>
    <x v="39"/>
    <x v="39"/>
    <x v="13"/>
    <x v="3"/>
    <x v="1"/>
    <x v="0"/>
    <x v="1"/>
    <x v="0"/>
  </r>
  <r>
    <x v="0"/>
    <x v="0"/>
    <x v="0"/>
    <x v="0"/>
    <x v="0"/>
    <x v="40"/>
    <x v="40"/>
    <x v="14"/>
    <x v="1"/>
    <x v="1"/>
    <x v="0"/>
    <x v="1"/>
    <x v="0"/>
  </r>
  <r>
    <x v="0"/>
    <x v="0"/>
    <x v="0"/>
    <x v="0"/>
    <x v="0"/>
    <x v="41"/>
    <x v="41"/>
    <x v="14"/>
    <x v="2"/>
    <x v="1"/>
    <x v="0"/>
    <x v="1"/>
    <x v="0"/>
  </r>
  <r>
    <x v="0"/>
    <x v="0"/>
    <x v="0"/>
    <x v="0"/>
    <x v="0"/>
    <x v="42"/>
    <x v="42"/>
    <x v="14"/>
    <x v="3"/>
    <x v="1"/>
    <x v="0"/>
    <x v="1"/>
    <x v="0"/>
  </r>
  <r>
    <x v="0"/>
    <x v="0"/>
    <x v="0"/>
    <x v="0"/>
    <x v="0"/>
    <x v="43"/>
    <x v="43"/>
    <x v="15"/>
    <x v="1"/>
    <x v="1"/>
    <x v="0"/>
    <x v="1"/>
    <x v="0"/>
  </r>
  <r>
    <x v="0"/>
    <x v="0"/>
    <x v="0"/>
    <x v="0"/>
    <x v="0"/>
    <x v="44"/>
    <x v="44"/>
    <x v="15"/>
    <x v="2"/>
    <x v="1"/>
    <x v="0"/>
    <x v="1"/>
    <x v="0"/>
  </r>
  <r>
    <x v="0"/>
    <x v="0"/>
    <x v="0"/>
    <x v="0"/>
    <x v="0"/>
    <x v="45"/>
    <x v="45"/>
    <x v="15"/>
    <x v="3"/>
    <x v="1"/>
    <x v="0"/>
    <x v="1"/>
    <x v="0"/>
  </r>
  <r>
    <x v="0"/>
    <x v="0"/>
    <x v="0"/>
    <x v="0"/>
    <x v="0"/>
    <x v="46"/>
    <x v="46"/>
    <x v="16"/>
    <x v="1"/>
    <x v="1"/>
    <x v="0"/>
    <x v="2"/>
    <x v="0"/>
  </r>
  <r>
    <x v="0"/>
    <x v="0"/>
    <x v="0"/>
    <x v="0"/>
    <x v="0"/>
    <x v="47"/>
    <x v="47"/>
    <x v="16"/>
    <x v="2"/>
    <x v="1"/>
    <x v="0"/>
    <x v="2"/>
    <x v="0"/>
  </r>
  <r>
    <x v="0"/>
    <x v="0"/>
    <x v="0"/>
    <x v="0"/>
    <x v="0"/>
    <x v="48"/>
    <x v="48"/>
    <x v="16"/>
    <x v="3"/>
    <x v="1"/>
    <x v="0"/>
    <x v="2"/>
    <x v="0"/>
  </r>
  <r>
    <x v="0"/>
    <x v="0"/>
    <x v="0"/>
    <x v="0"/>
    <x v="0"/>
    <x v="49"/>
    <x v="49"/>
    <x v="17"/>
    <x v="1"/>
    <x v="1"/>
    <x v="0"/>
    <x v="2"/>
    <x v="0"/>
  </r>
  <r>
    <x v="0"/>
    <x v="0"/>
    <x v="0"/>
    <x v="0"/>
    <x v="0"/>
    <x v="50"/>
    <x v="50"/>
    <x v="17"/>
    <x v="2"/>
    <x v="1"/>
    <x v="0"/>
    <x v="2"/>
    <x v="0"/>
  </r>
  <r>
    <x v="0"/>
    <x v="0"/>
    <x v="0"/>
    <x v="0"/>
    <x v="0"/>
    <x v="51"/>
    <x v="51"/>
    <x v="17"/>
    <x v="3"/>
    <x v="1"/>
    <x v="0"/>
    <x v="2"/>
    <x v="0"/>
  </r>
  <r>
    <x v="0"/>
    <x v="0"/>
    <x v="0"/>
    <x v="0"/>
    <x v="0"/>
    <x v="52"/>
    <x v="52"/>
    <x v="18"/>
    <x v="1"/>
    <x v="1"/>
    <x v="0"/>
    <x v="2"/>
    <x v="0"/>
  </r>
  <r>
    <x v="0"/>
    <x v="0"/>
    <x v="0"/>
    <x v="0"/>
    <x v="0"/>
    <x v="53"/>
    <x v="53"/>
    <x v="18"/>
    <x v="2"/>
    <x v="1"/>
    <x v="0"/>
    <x v="2"/>
    <x v="0"/>
  </r>
  <r>
    <x v="0"/>
    <x v="0"/>
    <x v="0"/>
    <x v="0"/>
    <x v="0"/>
    <x v="54"/>
    <x v="54"/>
    <x v="18"/>
    <x v="3"/>
    <x v="1"/>
    <x v="0"/>
    <x v="2"/>
    <x v="0"/>
  </r>
  <r>
    <x v="0"/>
    <x v="0"/>
    <x v="0"/>
    <x v="0"/>
    <x v="0"/>
    <x v="55"/>
    <x v="55"/>
    <x v="19"/>
    <x v="1"/>
    <x v="1"/>
    <x v="0"/>
    <x v="2"/>
    <x v="0"/>
  </r>
  <r>
    <x v="0"/>
    <x v="0"/>
    <x v="0"/>
    <x v="0"/>
    <x v="0"/>
    <x v="56"/>
    <x v="56"/>
    <x v="19"/>
    <x v="2"/>
    <x v="1"/>
    <x v="0"/>
    <x v="2"/>
    <x v="0"/>
  </r>
  <r>
    <x v="0"/>
    <x v="0"/>
    <x v="0"/>
    <x v="0"/>
    <x v="0"/>
    <x v="57"/>
    <x v="57"/>
    <x v="19"/>
    <x v="3"/>
    <x v="1"/>
    <x v="0"/>
    <x v="2"/>
    <x v="0"/>
  </r>
  <r>
    <x v="0"/>
    <x v="0"/>
    <x v="0"/>
    <x v="0"/>
    <x v="0"/>
    <x v="58"/>
    <x v="58"/>
    <x v="20"/>
    <x v="1"/>
    <x v="1"/>
    <x v="0"/>
    <x v="1"/>
    <x v="0"/>
  </r>
  <r>
    <x v="0"/>
    <x v="0"/>
    <x v="0"/>
    <x v="0"/>
    <x v="0"/>
    <x v="59"/>
    <x v="59"/>
    <x v="20"/>
    <x v="2"/>
    <x v="1"/>
    <x v="0"/>
    <x v="1"/>
    <x v="0"/>
  </r>
  <r>
    <x v="0"/>
    <x v="0"/>
    <x v="0"/>
    <x v="0"/>
    <x v="0"/>
    <x v="60"/>
    <x v="60"/>
    <x v="20"/>
    <x v="3"/>
    <x v="1"/>
    <x v="0"/>
    <x v="1"/>
    <x v="0"/>
  </r>
  <r>
    <x v="0"/>
    <x v="0"/>
    <x v="0"/>
    <x v="0"/>
    <x v="0"/>
    <x v="61"/>
    <x v="61"/>
    <x v="21"/>
    <x v="1"/>
    <x v="1"/>
    <x v="0"/>
    <x v="0"/>
    <x v="0"/>
  </r>
  <r>
    <x v="0"/>
    <x v="0"/>
    <x v="0"/>
    <x v="0"/>
    <x v="0"/>
    <x v="62"/>
    <x v="62"/>
    <x v="21"/>
    <x v="2"/>
    <x v="1"/>
    <x v="0"/>
    <x v="0"/>
    <x v="0"/>
  </r>
  <r>
    <x v="0"/>
    <x v="0"/>
    <x v="0"/>
    <x v="0"/>
    <x v="0"/>
    <x v="63"/>
    <x v="63"/>
    <x v="21"/>
    <x v="3"/>
    <x v="1"/>
    <x v="0"/>
    <x v="0"/>
    <x v="0"/>
  </r>
  <r>
    <x v="0"/>
    <x v="0"/>
    <x v="0"/>
    <x v="0"/>
    <x v="0"/>
    <x v="64"/>
    <x v="64"/>
    <x v="22"/>
    <x v="1"/>
    <x v="1"/>
    <x v="0"/>
    <x v="0"/>
    <x v="0"/>
  </r>
  <r>
    <x v="0"/>
    <x v="0"/>
    <x v="0"/>
    <x v="0"/>
    <x v="0"/>
    <x v="65"/>
    <x v="65"/>
    <x v="22"/>
    <x v="2"/>
    <x v="1"/>
    <x v="0"/>
    <x v="0"/>
    <x v="0"/>
  </r>
  <r>
    <x v="0"/>
    <x v="0"/>
    <x v="0"/>
    <x v="0"/>
    <x v="0"/>
    <x v="66"/>
    <x v="66"/>
    <x v="22"/>
    <x v="3"/>
    <x v="1"/>
    <x v="0"/>
    <x v="0"/>
    <x v="0"/>
  </r>
  <r>
    <x v="0"/>
    <x v="0"/>
    <x v="0"/>
    <x v="0"/>
    <x v="0"/>
    <x v="67"/>
    <x v="67"/>
    <x v="23"/>
    <x v="1"/>
    <x v="1"/>
    <x v="0"/>
    <x v="1"/>
    <x v="0"/>
  </r>
  <r>
    <x v="0"/>
    <x v="0"/>
    <x v="0"/>
    <x v="0"/>
    <x v="0"/>
    <x v="68"/>
    <x v="68"/>
    <x v="23"/>
    <x v="2"/>
    <x v="1"/>
    <x v="0"/>
    <x v="1"/>
    <x v="0"/>
  </r>
  <r>
    <x v="0"/>
    <x v="0"/>
    <x v="0"/>
    <x v="0"/>
    <x v="0"/>
    <x v="69"/>
    <x v="69"/>
    <x v="23"/>
    <x v="3"/>
    <x v="1"/>
    <x v="0"/>
    <x v="1"/>
    <x v="0"/>
  </r>
  <r>
    <x v="0"/>
    <x v="0"/>
    <x v="0"/>
    <x v="0"/>
    <x v="0"/>
    <x v="70"/>
    <x v="70"/>
    <x v="24"/>
    <x v="1"/>
    <x v="1"/>
    <x v="0"/>
    <x v="2"/>
    <x v="0"/>
  </r>
  <r>
    <x v="0"/>
    <x v="0"/>
    <x v="0"/>
    <x v="0"/>
    <x v="0"/>
    <x v="71"/>
    <x v="71"/>
    <x v="24"/>
    <x v="2"/>
    <x v="1"/>
    <x v="0"/>
    <x v="2"/>
    <x v="0"/>
  </r>
  <r>
    <x v="0"/>
    <x v="0"/>
    <x v="0"/>
    <x v="0"/>
    <x v="0"/>
    <x v="72"/>
    <x v="72"/>
    <x v="24"/>
    <x v="3"/>
    <x v="1"/>
    <x v="0"/>
    <x v="2"/>
    <x v="0"/>
  </r>
  <r>
    <x v="0"/>
    <x v="0"/>
    <x v="0"/>
    <x v="0"/>
    <x v="0"/>
    <x v="73"/>
    <x v="73"/>
    <x v="25"/>
    <x v="1"/>
    <x v="1"/>
    <x v="0"/>
    <x v="2"/>
    <x v="0"/>
  </r>
  <r>
    <x v="0"/>
    <x v="0"/>
    <x v="0"/>
    <x v="0"/>
    <x v="0"/>
    <x v="74"/>
    <x v="74"/>
    <x v="25"/>
    <x v="2"/>
    <x v="1"/>
    <x v="0"/>
    <x v="2"/>
    <x v="0"/>
  </r>
  <r>
    <x v="0"/>
    <x v="0"/>
    <x v="0"/>
    <x v="0"/>
    <x v="0"/>
    <x v="75"/>
    <x v="75"/>
    <x v="25"/>
    <x v="3"/>
    <x v="1"/>
    <x v="0"/>
    <x v="2"/>
    <x v="0"/>
  </r>
  <r>
    <x v="0"/>
    <x v="0"/>
    <x v="0"/>
    <x v="0"/>
    <x v="0"/>
    <x v="76"/>
    <x v="76"/>
    <x v="26"/>
    <x v="1"/>
    <x v="1"/>
    <x v="0"/>
    <x v="2"/>
    <x v="0"/>
  </r>
  <r>
    <x v="0"/>
    <x v="0"/>
    <x v="0"/>
    <x v="0"/>
    <x v="0"/>
    <x v="77"/>
    <x v="77"/>
    <x v="26"/>
    <x v="2"/>
    <x v="1"/>
    <x v="0"/>
    <x v="2"/>
    <x v="0"/>
  </r>
  <r>
    <x v="0"/>
    <x v="0"/>
    <x v="0"/>
    <x v="0"/>
    <x v="0"/>
    <x v="78"/>
    <x v="78"/>
    <x v="26"/>
    <x v="3"/>
    <x v="1"/>
    <x v="0"/>
    <x v="2"/>
    <x v="0"/>
  </r>
  <r>
    <x v="0"/>
    <x v="0"/>
    <x v="0"/>
    <x v="0"/>
    <x v="0"/>
    <x v="79"/>
    <x v="79"/>
    <x v="27"/>
    <x v="1"/>
    <x v="1"/>
    <x v="0"/>
    <x v="1"/>
    <x v="0"/>
  </r>
  <r>
    <x v="0"/>
    <x v="0"/>
    <x v="0"/>
    <x v="0"/>
    <x v="0"/>
    <x v="80"/>
    <x v="80"/>
    <x v="27"/>
    <x v="2"/>
    <x v="1"/>
    <x v="0"/>
    <x v="1"/>
    <x v="0"/>
  </r>
  <r>
    <x v="0"/>
    <x v="0"/>
    <x v="0"/>
    <x v="0"/>
    <x v="0"/>
    <x v="81"/>
    <x v="81"/>
    <x v="27"/>
    <x v="3"/>
    <x v="1"/>
    <x v="0"/>
    <x v="1"/>
    <x v="0"/>
  </r>
  <r>
    <x v="0"/>
    <x v="0"/>
    <x v="0"/>
    <x v="0"/>
    <x v="0"/>
    <x v="82"/>
    <x v="82"/>
    <x v="28"/>
    <x v="1"/>
    <x v="1"/>
    <x v="0"/>
    <x v="1"/>
    <x v="0"/>
  </r>
  <r>
    <x v="0"/>
    <x v="0"/>
    <x v="0"/>
    <x v="0"/>
    <x v="0"/>
    <x v="83"/>
    <x v="83"/>
    <x v="28"/>
    <x v="2"/>
    <x v="1"/>
    <x v="0"/>
    <x v="1"/>
    <x v="0"/>
  </r>
  <r>
    <x v="0"/>
    <x v="0"/>
    <x v="0"/>
    <x v="0"/>
    <x v="0"/>
    <x v="84"/>
    <x v="84"/>
    <x v="28"/>
    <x v="3"/>
    <x v="1"/>
    <x v="0"/>
    <x v="1"/>
    <x v="0"/>
  </r>
  <r>
    <x v="0"/>
    <x v="0"/>
    <x v="0"/>
    <x v="0"/>
    <x v="0"/>
    <x v="85"/>
    <x v="85"/>
    <x v="29"/>
    <x v="1"/>
    <x v="1"/>
    <x v="0"/>
    <x v="1"/>
    <x v="0"/>
  </r>
  <r>
    <x v="0"/>
    <x v="0"/>
    <x v="0"/>
    <x v="0"/>
    <x v="0"/>
    <x v="86"/>
    <x v="86"/>
    <x v="29"/>
    <x v="2"/>
    <x v="1"/>
    <x v="0"/>
    <x v="1"/>
    <x v="0"/>
  </r>
  <r>
    <x v="0"/>
    <x v="0"/>
    <x v="0"/>
    <x v="0"/>
    <x v="0"/>
    <x v="87"/>
    <x v="87"/>
    <x v="29"/>
    <x v="3"/>
    <x v="1"/>
    <x v="0"/>
    <x v="1"/>
    <x v="0"/>
  </r>
  <r>
    <x v="0"/>
    <x v="0"/>
    <x v="0"/>
    <x v="0"/>
    <x v="0"/>
    <x v="88"/>
    <x v="88"/>
    <x v="30"/>
    <x v="1"/>
    <x v="1"/>
    <x v="0"/>
    <x v="2"/>
    <x v="0"/>
  </r>
  <r>
    <x v="0"/>
    <x v="0"/>
    <x v="0"/>
    <x v="0"/>
    <x v="0"/>
    <x v="89"/>
    <x v="89"/>
    <x v="30"/>
    <x v="2"/>
    <x v="1"/>
    <x v="0"/>
    <x v="2"/>
    <x v="0"/>
  </r>
  <r>
    <x v="0"/>
    <x v="0"/>
    <x v="0"/>
    <x v="0"/>
    <x v="0"/>
    <x v="90"/>
    <x v="90"/>
    <x v="30"/>
    <x v="3"/>
    <x v="1"/>
    <x v="0"/>
    <x v="2"/>
    <x v="0"/>
  </r>
  <r>
    <x v="0"/>
    <x v="0"/>
    <x v="0"/>
    <x v="0"/>
    <x v="0"/>
    <x v="91"/>
    <x v="91"/>
    <x v="31"/>
    <x v="1"/>
    <x v="1"/>
    <x v="0"/>
    <x v="2"/>
    <x v="0"/>
  </r>
  <r>
    <x v="0"/>
    <x v="0"/>
    <x v="0"/>
    <x v="0"/>
    <x v="0"/>
    <x v="92"/>
    <x v="92"/>
    <x v="31"/>
    <x v="2"/>
    <x v="1"/>
    <x v="0"/>
    <x v="2"/>
    <x v="0"/>
  </r>
  <r>
    <x v="0"/>
    <x v="0"/>
    <x v="0"/>
    <x v="0"/>
    <x v="0"/>
    <x v="93"/>
    <x v="93"/>
    <x v="31"/>
    <x v="3"/>
    <x v="1"/>
    <x v="0"/>
    <x v="2"/>
    <x v="0"/>
  </r>
  <r>
    <x v="0"/>
    <x v="0"/>
    <x v="0"/>
    <x v="0"/>
    <x v="0"/>
    <x v="94"/>
    <x v="94"/>
    <x v="32"/>
    <x v="1"/>
    <x v="1"/>
    <x v="0"/>
    <x v="1"/>
    <x v="0"/>
  </r>
  <r>
    <x v="0"/>
    <x v="0"/>
    <x v="0"/>
    <x v="0"/>
    <x v="0"/>
    <x v="95"/>
    <x v="95"/>
    <x v="32"/>
    <x v="2"/>
    <x v="1"/>
    <x v="0"/>
    <x v="1"/>
    <x v="0"/>
  </r>
  <r>
    <x v="0"/>
    <x v="0"/>
    <x v="0"/>
    <x v="0"/>
    <x v="0"/>
    <x v="96"/>
    <x v="96"/>
    <x v="32"/>
    <x v="3"/>
    <x v="1"/>
    <x v="0"/>
    <x v="1"/>
    <x v="0"/>
  </r>
  <r>
    <x v="0"/>
    <x v="0"/>
    <x v="0"/>
    <x v="0"/>
    <x v="0"/>
    <x v="97"/>
    <x v="97"/>
    <x v="33"/>
    <x v="1"/>
    <x v="1"/>
    <x v="0"/>
    <x v="2"/>
    <x v="0"/>
  </r>
  <r>
    <x v="0"/>
    <x v="0"/>
    <x v="0"/>
    <x v="0"/>
    <x v="0"/>
    <x v="98"/>
    <x v="98"/>
    <x v="33"/>
    <x v="2"/>
    <x v="1"/>
    <x v="0"/>
    <x v="2"/>
    <x v="0"/>
  </r>
  <r>
    <x v="0"/>
    <x v="0"/>
    <x v="0"/>
    <x v="0"/>
    <x v="0"/>
    <x v="99"/>
    <x v="99"/>
    <x v="33"/>
    <x v="3"/>
    <x v="1"/>
    <x v="0"/>
    <x v="2"/>
    <x v="0"/>
  </r>
  <r>
    <x v="0"/>
    <x v="0"/>
    <x v="0"/>
    <x v="0"/>
    <x v="0"/>
    <x v="100"/>
    <x v="100"/>
    <x v="34"/>
    <x v="1"/>
    <x v="1"/>
    <x v="0"/>
    <x v="2"/>
    <x v="0"/>
  </r>
  <r>
    <x v="0"/>
    <x v="0"/>
    <x v="0"/>
    <x v="0"/>
    <x v="0"/>
    <x v="101"/>
    <x v="101"/>
    <x v="34"/>
    <x v="2"/>
    <x v="1"/>
    <x v="0"/>
    <x v="2"/>
    <x v="0"/>
  </r>
  <r>
    <x v="0"/>
    <x v="0"/>
    <x v="0"/>
    <x v="0"/>
    <x v="0"/>
    <x v="102"/>
    <x v="102"/>
    <x v="34"/>
    <x v="3"/>
    <x v="1"/>
    <x v="0"/>
    <x v="2"/>
    <x v="0"/>
  </r>
  <r>
    <x v="0"/>
    <x v="0"/>
    <x v="0"/>
    <x v="0"/>
    <x v="0"/>
    <x v="103"/>
    <x v="103"/>
    <x v="35"/>
    <x v="1"/>
    <x v="1"/>
    <x v="0"/>
    <x v="1"/>
    <x v="0"/>
  </r>
  <r>
    <x v="0"/>
    <x v="0"/>
    <x v="0"/>
    <x v="0"/>
    <x v="0"/>
    <x v="104"/>
    <x v="104"/>
    <x v="35"/>
    <x v="2"/>
    <x v="1"/>
    <x v="0"/>
    <x v="1"/>
    <x v="0"/>
  </r>
  <r>
    <x v="0"/>
    <x v="0"/>
    <x v="0"/>
    <x v="0"/>
    <x v="0"/>
    <x v="105"/>
    <x v="105"/>
    <x v="35"/>
    <x v="3"/>
    <x v="1"/>
    <x v="0"/>
    <x v="1"/>
    <x v="0"/>
  </r>
  <r>
    <x v="0"/>
    <x v="0"/>
    <x v="0"/>
    <x v="0"/>
    <x v="0"/>
    <x v="106"/>
    <x v="106"/>
    <x v="36"/>
    <x v="1"/>
    <x v="1"/>
    <x v="0"/>
    <x v="2"/>
    <x v="0"/>
  </r>
  <r>
    <x v="0"/>
    <x v="0"/>
    <x v="0"/>
    <x v="0"/>
    <x v="0"/>
    <x v="107"/>
    <x v="107"/>
    <x v="36"/>
    <x v="2"/>
    <x v="1"/>
    <x v="0"/>
    <x v="2"/>
    <x v="0"/>
  </r>
  <r>
    <x v="0"/>
    <x v="0"/>
    <x v="0"/>
    <x v="0"/>
    <x v="0"/>
    <x v="108"/>
    <x v="108"/>
    <x v="36"/>
    <x v="3"/>
    <x v="1"/>
    <x v="0"/>
    <x v="2"/>
    <x v="0"/>
  </r>
  <r>
    <x v="0"/>
    <x v="0"/>
    <x v="0"/>
    <x v="0"/>
    <x v="0"/>
    <x v="109"/>
    <x v="109"/>
    <x v="37"/>
    <x v="1"/>
    <x v="1"/>
    <x v="0"/>
    <x v="2"/>
    <x v="0"/>
  </r>
  <r>
    <x v="0"/>
    <x v="0"/>
    <x v="0"/>
    <x v="0"/>
    <x v="0"/>
    <x v="110"/>
    <x v="110"/>
    <x v="37"/>
    <x v="2"/>
    <x v="1"/>
    <x v="0"/>
    <x v="2"/>
    <x v="0"/>
  </r>
  <r>
    <x v="0"/>
    <x v="0"/>
    <x v="0"/>
    <x v="0"/>
    <x v="0"/>
    <x v="111"/>
    <x v="111"/>
    <x v="37"/>
    <x v="3"/>
    <x v="1"/>
    <x v="0"/>
    <x v="2"/>
    <x v="0"/>
  </r>
  <r>
    <x v="0"/>
    <x v="0"/>
    <x v="0"/>
    <x v="0"/>
    <x v="0"/>
    <x v="112"/>
    <x v="112"/>
    <x v="38"/>
    <x v="1"/>
    <x v="1"/>
    <x v="0"/>
    <x v="1"/>
    <x v="0"/>
  </r>
  <r>
    <x v="0"/>
    <x v="0"/>
    <x v="0"/>
    <x v="0"/>
    <x v="0"/>
    <x v="113"/>
    <x v="113"/>
    <x v="38"/>
    <x v="2"/>
    <x v="1"/>
    <x v="0"/>
    <x v="1"/>
    <x v="0"/>
  </r>
  <r>
    <x v="0"/>
    <x v="0"/>
    <x v="0"/>
    <x v="0"/>
    <x v="0"/>
    <x v="114"/>
    <x v="114"/>
    <x v="38"/>
    <x v="3"/>
    <x v="1"/>
    <x v="0"/>
    <x v="1"/>
    <x v="0"/>
  </r>
  <r>
    <x v="0"/>
    <x v="0"/>
    <x v="0"/>
    <x v="0"/>
    <x v="0"/>
    <x v="115"/>
    <x v="115"/>
    <x v="39"/>
    <x v="1"/>
    <x v="1"/>
    <x v="0"/>
    <x v="2"/>
    <x v="0"/>
  </r>
  <r>
    <x v="0"/>
    <x v="0"/>
    <x v="0"/>
    <x v="0"/>
    <x v="0"/>
    <x v="116"/>
    <x v="116"/>
    <x v="39"/>
    <x v="2"/>
    <x v="1"/>
    <x v="0"/>
    <x v="2"/>
    <x v="0"/>
  </r>
  <r>
    <x v="0"/>
    <x v="0"/>
    <x v="0"/>
    <x v="0"/>
    <x v="0"/>
    <x v="117"/>
    <x v="117"/>
    <x v="39"/>
    <x v="3"/>
    <x v="1"/>
    <x v="0"/>
    <x v="2"/>
    <x v="0"/>
  </r>
  <r>
    <x v="0"/>
    <x v="0"/>
    <x v="0"/>
    <x v="0"/>
    <x v="0"/>
    <x v="118"/>
    <x v="118"/>
    <x v="40"/>
    <x v="1"/>
    <x v="1"/>
    <x v="0"/>
    <x v="2"/>
    <x v="0"/>
  </r>
  <r>
    <x v="0"/>
    <x v="0"/>
    <x v="0"/>
    <x v="0"/>
    <x v="0"/>
    <x v="119"/>
    <x v="119"/>
    <x v="40"/>
    <x v="2"/>
    <x v="1"/>
    <x v="0"/>
    <x v="2"/>
    <x v="0"/>
  </r>
  <r>
    <x v="0"/>
    <x v="0"/>
    <x v="0"/>
    <x v="0"/>
    <x v="0"/>
    <x v="120"/>
    <x v="120"/>
    <x v="40"/>
    <x v="3"/>
    <x v="1"/>
    <x v="0"/>
    <x v="2"/>
    <x v="0"/>
  </r>
  <r>
    <x v="0"/>
    <x v="0"/>
    <x v="0"/>
    <x v="0"/>
    <x v="0"/>
    <x v="121"/>
    <x v="121"/>
    <x v="41"/>
    <x v="1"/>
    <x v="1"/>
    <x v="0"/>
    <x v="1"/>
    <x v="0"/>
  </r>
  <r>
    <x v="0"/>
    <x v="0"/>
    <x v="0"/>
    <x v="0"/>
    <x v="0"/>
    <x v="122"/>
    <x v="122"/>
    <x v="41"/>
    <x v="2"/>
    <x v="1"/>
    <x v="0"/>
    <x v="1"/>
    <x v="0"/>
  </r>
  <r>
    <x v="0"/>
    <x v="0"/>
    <x v="0"/>
    <x v="0"/>
    <x v="0"/>
    <x v="123"/>
    <x v="123"/>
    <x v="41"/>
    <x v="3"/>
    <x v="1"/>
    <x v="0"/>
    <x v="1"/>
    <x v="0"/>
  </r>
  <r>
    <x v="0"/>
    <x v="0"/>
    <x v="0"/>
    <x v="0"/>
    <x v="0"/>
    <x v="124"/>
    <x v="124"/>
    <x v="42"/>
    <x v="1"/>
    <x v="1"/>
    <x v="0"/>
    <x v="2"/>
    <x v="0"/>
  </r>
  <r>
    <x v="0"/>
    <x v="0"/>
    <x v="0"/>
    <x v="0"/>
    <x v="0"/>
    <x v="125"/>
    <x v="125"/>
    <x v="42"/>
    <x v="2"/>
    <x v="1"/>
    <x v="0"/>
    <x v="2"/>
    <x v="0"/>
  </r>
  <r>
    <x v="0"/>
    <x v="0"/>
    <x v="0"/>
    <x v="0"/>
    <x v="0"/>
    <x v="126"/>
    <x v="126"/>
    <x v="42"/>
    <x v="3"/>
    <x v="1"/>
    <x v="0"/>
    <x v="2"/>
    <x v="0"/>
  </r>
  <r>
    <x v="0"/>
    <x v="0"/>
    <x v="0"/>
    <x v="0"/>
    <x v="0"/>
    <x v="127"/>
    <x v="127"/>
    <x v="43"/>
    <x v="1"/>
    <x v="1"/>
    <x v="0"/>
    <x v="2"/>
    <x v="0"/>
  </r>
  <r>
    <x v="0"/>
    <x v="0"/>
    <x v="0"/>
    <x v="0"/>
    <x v="0"/>
    <x v="128"/>
    <x v="128"/>
    <x v="43"/>
    <x v="2"/>
    <x v="1"/>
    <x v="0"/>
    <x v="2"/>
    <x v="0"/>
  </r>
  <r>
    <x v="0"/>
    <x v="0"/>
    <x v="0"/>
    <x v="0"/>
    <x v="0"/>
    <x v="129"/>
    <x v="129"/>
    <x v="43"/>
    <x v="3"/>
    <x v="1"/>
    <x v="0"/>
    <x v="2"/>
    <x v="0"/>
  </r>
  <r>
    <x v="0"/>
    <x v="0"/>
    <x v="1"/>
    <x v="0"/>
    <x v="0"/>
    <x v="0"/>
    <x v="0"/>
    <x v="0"/>
    <x v="0"/>
    <x v="0"/>
    <x v="0"/>
    <x v="0"/>
    <x v="1"/>
  </r>
  <r>
    <x v="0"/>
    <x v="0"/>
    <x v="1"/>
    <x v="0"/>
    <x v="0"/>
    <x v="1"/>
    <x v="22"/>
    <x v="8"/>
    <x v="1"/>
    <x v="1"/>
    <x v="0"/>
    <x v="2"/>
    <x v="1"/>
  </r>
  <r>
    <x v="0"/>
    <x v="0"/>
    <x v="1"/>
    <x v="0"/>
    <x v="0"/>
    <x v="2"/>
    <x v="23"/>
    <x v="8"/>
    <x v="2"/>
    <x v="1"/>
    <x v="0"/>
    <x v="2"/>
    <x v="1"/>
  </r>
  <r>
    <x v="0"/>
    <x v="0"/>
    <x v="1"/>
    <x v="0"/>
    <x v="0"/>
    <x v="3"/>
    <x v="24"/>
    <x v="8"/>
    <x v="3"/>
    <x v="1"/>
    <x v="0"/>
    <x v="2"/>
    <x v="1"/>
  </r>
  <r>
    <x v="0"/>
    <x v="0"/>
    <x v="1"/>
    <x v="0"/>
    <x v="0"/>
    <x v="4"/>
    <x v="19"/>
    <x v="7"/>
    <x v="1"/>
    <x v="1"/>
    <x v="0"/>
    <x v="2"/>
    <x v="1"/>
  </r>
  <r>
    <x v="0"/>
    <x v="0"/>
    <x v="1"/>
    <x v="0"/>
    <x v="0"/>
    <x v="5"/>
    <x v="20"/>
    <x v="7"/>
    <x v="2"/>
    <x v="1"/>
    <x v="0"/>
    <x v="2"/>
    <x v="1"/>
  </r>
  <r>
    <x v="0"/>
    <x v="0"/>
    <x v="1"/>
    <x v="0"/>
    <x v="0"/>
    <x v="6"/>
    <x v="21"/>
    <x v="7"/>
    <x v="3"/>
    <x v="1"/>
    <x v="0"/>
    <x v="2"/>
    <x v="1"/>
  </r>
  <r>
    <x v="0"/>
    <x v="0"/>
    <x v="1"/>
    <x v="0"/>
    <x v="0"/>
    <x v="7"/>
    <x v="25"/>
    <x v="9"/>
    <x v="1"/>
    <x v="1"/>
    <x v="0"/>
    <x v="1"/>
    <x v="1"/>
  </r>
  <r>
    <x v="0"/>
    <x v="0"/>
    <x v="1"/>
    <x v="0"/>
    <x v="0"/>
    <x v="8"/>
    <x v="26"/>
    <x v="9"/>
    <x v="2"/>
    <x v="1"/>
    <x v="0"/>
    <x v="1"/>
    <x v="1"/>
  </r>
  <r>
    <x v="0"/>
    <x v="0"/>
    <x v="1"/>
    <x v="0"/>
    <x v="0"/>
    <x v="9"/>
    <x v="27"/>
    <x v="9"/>
    <x v="3"/>
    <x v="1"/>
    <x v="0"/>
    <x v="1"/>
    <x v="1"/>
  </r>
  <r>
    <x v="0"/>
    <x v="0"/>
    <x v="1"/>
    <x v="0"/>
    <x v="0"/>
    <x v="10"/>
    <x v="52"/>
    <x v="18"/>
    <x v="1"/>
    <x v="1"/>
    <x v="0"/>
    <x v="2"/>
    <x v="1"/>
  </r>
  <r>
    <x v="0"/>
    <x v="0"/>
    <x v="1"/>
    <x v="0"/>
    <x v="0"/>
    <x v="11"/>
    <x v="53"/>
    <x v="18"/>
    <x v="2"/>
    <x v="1"/>
    <x v="0"/>
    <x v="2"/>
    <x v="1"/>
  </r>
  <r>
    <x v="0"/>
    <x v="0"/>
    <x v="1"/>
    <x v="0"/>
    <x v="0"/>
    <x v="12"/>
    <x v="54"/>
    <x v="18"/>
    <x v="3"/>
    <x v="1"/>
    <x v="0"/>
    <x v="2"/>
    <x v="1"/>
  </r>
  <r>
    <x v="0"/>
    <x v="0"/>
    <x v="1"/>
    <x v="0"/>
    <x v="0"/>
    <x v="13"/>
    <x v="49"/>
    <x v="17"/>
    <x v="1"/>
    <x v="1"/>
    <x v="0"/>
    <x v="2"/>
    <x v="1"/>
  </r>
  <r>
    <x v="0"/>
    <x v="0"/>
    <x v="1"/>
    <x v="0"/>
    <x v="0"/>
    <x v="14"/>
    <x v="50"/>
    <x v="17"/>
    <x v="2"/>
    <x v="1"/>
    <x v="0"/>
    <x v="2"/>
    <x v="1"/>
  </r>
  <r>
    <x v="0"/>
    <x v="0"/>
    <x v="1"/>
    <x v="0"/>
    <x v="0"/>
    <x v="15"/>
    <x v="51"/>
    <x v="17"/>
    <x v="3"/>
    <x v="1"/>
    <x v="0"/>
    <x v="2"/>
    <x v="1"/>
  </r>
  <r>
    <x v="0"/>
    <x v="0"/>
    <x v="1"/>
    <x v="0"/>
    <x v="0"/>
    <x v="16"/>
    <x v="55"/>
    <x v="19"/>
    <x v="1"/>
    <x v="1"/>
    <x v="0"/>
    <x v="2"/>
    <x v="1"/>
  </r>
  <r>
    <x v="0"/>
    <x v="0"/>
    <x v="1"/>
    <x v="0"/>
    <x v="0"/>
    <x v="17"/>
    <x v="56"/>
    <x v="19"/>
    <x v="2"/>
    <x v="1"/>
    <x v="0"/>
    <x v="2"/>
    <x v="1"/>
  </r>
  <r>
    <x v="0"/>
    <x v="0"/>
    <x v="1"/>
    <x v="0"/>
    <x v="0"/>
    <x v="18"/>
    <x v="57"/>
    <x v="19"/>
    <x v="3"/>
    <x v="1"/>
    <x v="0"/>
    <x v="2"/>
    <x v="1"/>
  </r>
  <r>
    <x v="0"/>
    <x v="0"/>
    <x v="1"/>
    <x v="0"/>
    <x v="0"/>
    <x v="19"/>
    <x v="130"/>
    <x v="44"/>
    <x v="1"/>
    <x v="1"/>
    <x v="0"/>
    <x v="1"/>
    <x v="1"/>
  </r>
  <r>
    <x v="0"/>
    <x v="0"/>
    <x v="1"/>
    <x v="0"/>
    <x v="0"/>
    <x v="20"/>
    <x v="131"/>
    <x v="44"/>
    <x v="2"/>
    <x v="1"/>
    <x v="0"/>
    <x v="1"/>
    <x v="1"/>
  </r>
  <r>
    <x v="0"/>
    <x v="0"/>
    <x v="1"/>
    <x v="0"/>
    <x v="0"/>
    <x v="21"/>
    <x v="132"/>
    <x v="44"/>
    <x v="3"/>
    <x v="1"/>
    <x v="0"/>
    <x v="1"/>
    <x v="1"/>
  </r>
  <r>
    <x v="0"/>
    <x v="0"/>
    <x v="1"/>
    <x v="0"/>
    <x v="0"/>
    <x v="22"/>
    <x v="43"/>
    <x v="15"/>
    <x v="1"/>
    <x v="1"/>
    <x v="0"/>
    <x v="1"/>
    <x v="1"/>
  </r>
  <r>
    <x v="0"/>
    <x v="0"/>
    <x v="1"/>
    <x v="0"/>
    <x v="0"/>
    <x v="23"/>
    <x v="44"/>
    <x v="15"/>
    <x v="2"/>
    <x v="1"/>
    <x v="0"/>
    <x v="1"/>
    <x v="1"/>
  </r>
  <r>
    <x v="0"/>
    <x v="0"/>
    <x v="1"/>
    <x v="0"/>
    <x v="0"/>
    <x v="24"/>
    <x v="45"/>
    <x v="15"/>
    <x v="3"/>
    <x v="1"/>
    <x v="0"/>
    <x v="1"/>
    <x v="1"/>
  </r>
  <r>
    <x v="0"/>
    <x v="0"/>
    <x v="1"/>
    <x v="0"/>
    <x v="0"/>
    <x v="25"/>
    <x v="16"/>
    <x v="6"/>
    <x v="1"/>
    <x v="1"/>
    <x v="0"/>
    <x v="1"/>
    <x v="1"/>
  </r>
  <r>
    <x v="0"/>
    <x v="0"/>
    <x v="1"/>
    <x v="0"/>
    <x v="0"/>
    <x v="26"/>
    <x v="17"/>
    <x v="6"/>
    <x v="2"/>
    <x v="1"/>
    <x v="0"/>
    <x v="1"/>
    <x v="1"/>
  </r>
  <r>
    <x v="0"/>
    <x v="0"/>
    <x v="1"/>
    <x v="0"/>
    <x v="0"/>
    <x v="27"/>
    <x v="18"/>
    <x v="6"/>
    <x v="3"/>
    <x v="1"/>
    <x v="0"/>
    <x v="1"/>
    <x v="1"/>
  </r>
  <r>
    <x v="0"/>
    <x v="0"/>
    <x v="1"/>
    <x v="0"/>
    <x v="0"/>
    <x v="28"/>
    <x v="133"/>
    <x v="45"/>
    <x v="1"/>
    <x v="1"/>
    <x v="0"/>
    <x v="2"/>
    <x v="1"/>
  </r>
  <r>
    <x v="0"/>
    <x v="0"/>
    <x v="1"/>
    <x v="0"/>
    <x v="0"/>
    <x v="29"/>
    <x v="134"/>
    <x v="45"/>
    <x v="2"/>
    <x v="1"/>
    <x v="0"/>
    <x v="2"/>
    <x v="1"/>
  </r>
  <r>
    <x v="0"/>
    <x v="0"/>
    <x v="1"/>
    <x v="0"/>
    <x v="0"/>
    <x v="30"/>
    <x v="135"/>
    <x v="45"/>
    <x v="3"/>
    <x v="1"/>
    <x v="0"/>
    <x v="2"/>
    <x v="1"/>
  </r>
  <r>
    <x v="0"/>
    <x v="0"/>
    <x v="1"/>
    <x v="0"/>
    <x v="0"/>
    <x v="31"/>
    <x v="136"/>
    <x v="46"/>
    <x v="1"/>
    <x v="1"/>
    <x v="0"/>
    <x v="2"/>
    <x v="1"/>
  </r>
  <r>
    <x v="0"/>
    <x v="0"/>
    <x v="1"/>
    <x v="0"/>
    <x v="0"/>
    <x v="32"/>
    <x v="137"/>
    <x v="46"/>
    <x v="2"/>
    <x v="1"/>
    <x v="0"/>
    <x v="2"/>
    <x v="1"/>
  </r>
  <r>
    <x v="0"/>
    <x v="0"/>
    <x v="1"/>
    <x v="0"/>
    <x v="0"/>
    <x v="33"/>
    <x v="138"/>
    <x v="46"/>
    <x v="3"/>
    <x v="1"/>
    <x v="0"/>
    <x v="2"/>
    <x v="1"/>
  </r>
  <r>
    <x v="0"/>
    <x v="0"/>
    <x v="1"/>
    <x v="0"/>
    <x v="0"/>
    <x v="34"/>
    <x v="7"/>
    <x v="3"/>
    <x v="1"/>
    <x v="1"/>
    <x v="0"/>
    <x v="2"/>
    <x v="1"/>
  </r>
  <r>
    <x v="0"/>
    <x v="0"/>
    <x v="1"/>
    <x v="0"/>
    <x v="0"/>
    <x v="35"/>
    <x v="8"/>
    <x v="3"/>
    <x v="2"/>
    <x v="1"/>
    <x v="0"/>
    <x v="2"/>
    <x v="1"/>
  </r>
  <r>
    <x v="0"/>
    <x v="0"/>
    <x v="1"/>
    <x v="0"/>
    <x v="0"/>
    <x v="36"/>
    <x v="9"/>
    <x v="3"/>
    <x v="3"/>
    <x v="1"/>
    <x v="0"/>
    <x v="2"/>
    <x v="1"/>
  </r>
  <r>
    <x v="0"/>
    <x v="0"/>
    <x v="1"/>
    <x v="0"/>
    <x v="0"/>
    <x v="37"/>
    <x v="28"/>
    <x v="10"/>
    <x v="1"/>
    <x v="1"/>
    <x v="0"/>
    <x v="2"/>
    <x v="1"/>
  </r>
  <r>
    <x v="0"/>
    <x v="0"/>
    <x v="1"/>
    <x v="0"/>
    <x v="0"/>
    <x v="38"/>
    <x v="29"/>
    <x v="10"/>
    <x v="2"/>
    <x v="1"/>
    <x v="0"/>
    <x v="2"/>
    <x v="1"/>
  </r>
  <r>
    <x v="0"/>
    <x v="0"/>
    <x v="1"/>
    <x v="0"/>
    <x v="0"/>
    <x v="39"/>
    <x v="30"/>
    <x v="10"/>
    <x v="3"/>
    <x v="1"/>
    <x v="0"/>
    <x v="2"/>
    <x v="1"/>
  </r>
  <r>
    <x v="0"/>
    <x v="0"/>
    <x v="1"/>
    <x v="0"/>
    <x v="0"/>
    <x v="40"/>
    <x v="34"/>
    <x v="12"/>
    <x v="1"/>
    <x v="1"/>
    <x v="0"/>
    <x v="1"/>
    <x v="1"/>
  </r>
  <r>
    <x v="0"/>
    <x v="0"/>
    <x v="1"/>
    <x v="0"/>
    <x v="0"/>
    <x v="41"/>
    <x v="35"/>
    <x v="12"/>
    <x v="2"/>
    <x v="1"/>
    <x v="0"/>
    <x v="1"/>
    <x v="1"/>
  </r>
  <r>
    <x v="0"/>
    <x v="0"/>
    <x v="1"/>
    <x v="0"/>
    <x v="0"/>
    <x v="42"/>
    <x v="36"/>
    <x v="12"/>
    <x v="3"/>
    <x v="1"/>
    <x v="0"/>
    <x v="1"/>
    <x v="1"/>
  </r>
  <r>
    <x v="0"/>
    <x v="0"/>
    <x v="1"/>
    <x v="0"/>
    <x v="0"/>
    <x v="43"/>
    <x v="139"/>
    <x v="47"/>
    <x v="1"/>
    <x v="1"/>
    <x v="0"/>
    <x v="1"/>
    <x v="1"/>
  </r>
  <r>
    <x v="0"/>
    <x v="0"/>
    <x v="1"/>
    <x v="0"/>
    <x v="0"/>
    <x v="44"/>
    <x v="140"/>
    <x v="47"/>
    <x v="2"/>
    <x v="1"/>
    <x v="0"/>
    <x v="1"/>
    <x v="1"/>
  </r>
  <r>
    <x v="0"/>
    <x v="0"/>
    <x v="1"/>
    <x v="0"/>
    <x v="0"/>
    <x v="45"/>
    <x v="141"/>
    <x v="47"/>
    <x v="3"/>
    <x v="1"/>
    <x v="0"/>
    <x v="1"/>
    <x v="1"/>
  </r>
  <r>
    <x v="0"/>
    <x v="0"/>
    <x v="1"/>
    <x v="0"/>
    <x v="0"/>
    <x v="46"/>
    <x v="142"/>
    <x v="48"/>
    <x v="1"/>
    <x v="1"/>
    <x v="0"/>
    <x v="1"/>
    <x v="1"/>
  </r>
  <r>
    <x v="0"/>
    <x v="0"/>
    <x v="1"/>
    <x v="0"/>
    <x v="0"/>
    <x v="47"/>
    <x v="143"/>
    <x v="48"/>
    <x v="2"/>
    <x v="1"/>
    <x v="0"/>
    <x v="1"/>
    <x v="1"/>
  </r>
  <r>
    <x v="0"/>
    <x v="0"/>
    <x v="1"/>
    <x v="0"/>
    <x v="0"/>
    <x v="48"/>
    <x v="144"/>
    <x v="48"/>
    <x v="3"/>
    <x v="1"/>
    <x v="0"/>
    <x v="1"/>
    <x v="1"/>
  </r>
  <r>
    <x v="0"/>
    <x v="0"/>
    <x v="1"/>
    <x v="0"/>
    <x v="0"/>
    <x v="49"/>
    <x v="4"/>
    <x v="2"/>
    <x v="1"/>
    <x v="1"/>
    <x v="0"/>
    <x v="2"/>
    <x v="1"/>
  </r>
  <r>
    <x v="0"/>
    <x v="0"/>
    <x v="1"/>
    <x v="0"/>
    <x v="0"/>
    <x v="50"/>
    <x v="5"/>
    <x v="2"/>
    <x v="2"/>
    <x v="1"/>
    <x v="0"/>
    <x v="2"/>
    <x v="1"/>
  </r>
  <r>
    <x v="0"/>
    <x v="0"/>
    <x v="1"/>
    <x v="0"/>
    <x v="0"/>
    <x v="51"/>
    <x v="6"/>
    <x v="2"/>
    <x v="3"/>
    <x v="1"/>
    <x v="0"/>
    <x v="2"/>
    <x v="1"/>
  </r>
  <r>
    <x v="0"/>
    <x v="0"/>
    <x v="1"/>
    <x v="0"/>
    <x v="0"/>
    <x v="52"/>
    <x v="10"/>
    <x v="4"/>
    <x v="1"/>
    <x v="1"/>
    <x v="0"/>
    <x v="2"/>
    <x v="1"/>
  </r>
  <r>
    <x v="0"/>
    <x v="0"/>
    <x v="1"/>
    <x v="0"/>
    <x v="0"/>
    <x v="53"/>
    <x v="11"/>
    <x v="4"/>
    <x v="2"/>
    <x v="1"/>
    <x v="0"/>
    <x v="2"/>
    <x v="1"/>
  </r>
  <r>
    <x v="0"/>
    <x v="0"/>
    <x v="1"/>
    <x v="0"/>
    <x v="0"/>
    <x v="54"/>
    <x v="12"/>
    <x v="4"/>
    <x v="3"/>
    <x v="1"/>
    <x v="0"/>
    <x v="2"/>
    <x v="1"/>
  </r>
  <r>
    <x v="0"/>
    <x v="0"/>
    <x v="1"/>
    <x v="0"/>
    <x v="0"/>
    <x v="55"/>
    <x v="1"/>
    <x v="1"/>
    <x v="1"/>
    <x v="1"/>
    <x v="0"/>
    <x v="1"/>
    <x v="1"/>
  </r>
  <r>
    <x v="0"/>
    <x v="0"/>
    <x v="1"/>
    <x v="0"/>
    <x v="0"/>
    <x v="56"/>
    <x v="2"/>
    <x v="1"/>
    <x v="2"/>
    <x v="1"/>
    <x v="0"/>
    <x v="1"/>
    <x v="1"/>
  </r>
  <r>
    <x v="0"/>
    <x v="0"/>
    <x v="1"/>
    <x v="0"/>
    <x v="0"/>
    <x v="57"/>
    <x v="3"/>
    <x v="1"/>
    <x v="3"/>
    <x v="1"/>
    <x v="0"/>
    <x v="1"/>
    <x v="1"/>
  </r>
  <r>
    <x v="0"/>
    <x v="0"/>
    <x v="2"/>
    <x v="1"/>
    <x v="1"/>
    <x v="0"/>
    <x v="0"/>
    <x v="0"/>
    <x v="0"/>
    <x v="0"/>
    <x v="0"/>
    <x v="0"/>
    <x v="2"/>
  </r>
  <r>
    <x v="0"/>
    <x v="0"/>
    <x v="2"/>
    <x v="1"/>
    <x v="1"/>
    <x v="1"/>
    <x v="145"/>
    <x v="49"/>
    <x v="0"/>
    <x v="0"/>
    <x v="0"/>
    <x v="0"/>
    <x v="2"/>
  </r>
  <r>
    <x v="0"/>
    <x v="0"/>
    <x v="2"/>
    <x v="1"/>
    <x v="1"/>
    <x v="2"/>
    <x v="146"/>
    <x v="50"/>
    <x v="0"/>
    <x v="0"/>
    <x v="0"/>
    <x v="0"/>
    <x v="2"/>
  </r>
  <r>
    <x v="0"/>
    <x v="0"/>
    <x v="2"/>
    <x v="1"/>
    <x v="1"/>
    <x v="3"/>
    <x v="147"/>
    <x v="51"/>
    <x v="0"/>
    <x v="0"/>
    <x v="0"/>
    <x v="0"/>
    <x v="2"/>
  </r>
  <r>
    <x v="0"/>
    <x v="0"/>
    <x v="2"/>
    <x v="1"/>
    <x v="1"/>
    <x v="4"/>
    <x v="148"/>
    <x v="52"/>
    <x v="0"/>
    <x v="0"/>
    <x v="0"/>
    <x v="0"/>
    <x v="2"/>
  </r>
  <r>
    <x v="0"/>
    <x v="0"/>
    <x v="2"/>
    <x v="1"/>
    <x v="1"/>
    <x v="5"/>
    <x v="149"/>
    <x v="53"/>
    <x v="1"/>
    <x v="1"/>
    <x v="0"/>
    <x v="2"/>
    <x v="2"/>
  </r>
  <r>
    <x v="0"/>
    <x v="0"/>
    <x v="2"/>
    <x v="1"/>
    <x v="1"/>
    <x v="6"/>
    <x v="150"/>
    <x v="53"/>
    <x v="2"/>
    <x v="1"/>
    <x v="0"/>
    <x v="2"/>
    <x v="2"/>
  </r>
  <r>
    <x v="0"/>
    <x v="0"/>
    <x v="2"/>
    <x v="1"/>
    <x v="1"/>
    <x v="7"/>
    <x v="151"/>
    <x v="53"/>
    <x v="3"/>
    <x v="1"/>
    <x v="0"/>
    <x v="2"/>
    <x v="2"/>
  </r>
  <r>
    <x v="0"/>
    <x v="0"/>
    <x v="2"/>
    <x v="1"/>
    <x v="1"/>
    <x v="8"/>
    <x v="152"/>
    <x v="54"/>
    <x v="1"/>
    <x v="1"/>
    <x v="0"/>
    <x v="2"/>
    <x v="2"/>
  </r>
  <r>
    <x v="0"/>
    <x v="0"/>
    <x v="2"/>
    <x v="1"/>
    <x v="1"/>
    <x v="9"/>
    <x v="153"/>
    <x v="54"/>
    <x v="2"/>
    <x v="1"/>
    <x v="0"/>
    <x v="2"/>
    <x v="2"/>
  </r>
  <r>
    <x v="0"/>
    <x v="0"/>
    <x v="2"/>
    <x v="1"/>
    <x v="1"/>
    <x v="10"/>
    <x v="154"/>
    <x v="54"/>
    <x v="3"/>
    <x v="1"/>
    <x v="0"/>
    <x v="2"/>
    <x v="2"/>
  </r>
  <r>
    <x v="0"/>
    <x v="0"/>
    <x v="2"/>
    <x v="1"/>
    <x v="1"/>
    <x v="11"/>
    <x v="43"/>
    <x v="15"/>
    <x v="1"/>
    <x v="1"/>
    <x v="0"/>
    <x v="1"/>
    <x v="2"/>
  </r>
  <r>
    <x v="0"/>
    <x v="0"/>
    <x v="2"/>
    <x v="1"/>
    <x v="1"/>
    <x v="12"/>
    <x v="44"/>
    <x v="15"/>
    <x v="2"/>
    <x v="1"/>
    <x v="0"/>
    <x v="1"/>
    <x v="2"/>
  </r>
  <r>
    <x v="0"/>
    <x v="0"/>
    <x v="2"/>
    <x v="1"/>
    <x v="1"/>
    <x v="13"/>
    <x v="45"/>
    <x v="15"/>
    <x v="3"/>
    <x v="1"/>
    <x v="0"/>
    <x v="1"/>
    <x v="2"/>
  </r>
  <r>
    <x v="0"/>
    <x v="0"/>
    <x v="2"/>
    <x v="1"/>
    <x v="1"/>
    <x v="14"/>
    <x v="16"/>
    <x v="6"/>
    <x v="1"/>
    <x v="1"/>
    <x v="0"/>
    <x v="1"/>
    <x v="2"/>
  </r>
  <r>
    <x v="0"/>
    <x v="0"/>
    <x v="2"/>
    <x v="1"/>
    <x v="1"/>
    <x v="15"/>
    <x v="17"/>
    <x v="6"/>
    <x v="2"/>
    <x v="1"/>
    <x v="0"/>
    <x v="1"/>
    <x v="2"/>
  </r>
  <r>
    <x v="0"/>
    <x v="0"/>
    <x v="2"/>
    <x v="1"/>
    <x v="1"/>
    <x v="16"/>
    <x v="18"/>
    <x v="6"/>
    <x v="3"/>
    <x v="1"/>
    <x v="0"/>
    <x v="1"/>
    <x v="2"/>
  </r>
  <r>
    <x v="0"/>
    <x v="0"/>
    <x v="2"/>
    <x v="1"/>
    <x v="1"/>
    <x v="17"/>
    <x v="155"/>
    <x v="55"/>
    <x v="1"/>
    <x v="1"/>
    <x v="0"/>
    <x v="2"/>
    <x v="2"/>
  </r>
  <r>
    <x v="0"/>
    <x v="0"/>
    <x v="2"/>
    <x v="1"/>
    <x v="1"/>
    <x v="18"/>
    <x v="156"/>
    <x v="55"/>
    <x v="2"/>
    <x v="1"/>
    <x v="0"/>
    <x v="2"/>
    <x v="2"/>
  </r>
  <r>
    <x v="0"/>
    <x v="0"/>
    <x v="2"/>
    <x v="1"/>
    <x v="1"/>
    <x v="19"/>
    <x v="157"/>
    <x v="55"/>
    <x v="3"/>
    <x v="1"/>
    <x v="0"/>
    <x v="2"/>
    <x v="2"/>
  </r>
  <r>
    <x v="0"/>
    <x v="0"/>
    <x v="2"/>
    <x v="1"/>
    <x v="1"/>
    <x v="20"/>
    <x v="158"/>
    <x v="56"/>
    <x v="1"/>
    <x v="1"/>
    <x v="0"/>
    <x v="1"/>
    <x v="2"/>
  </r>
  <r>
    <x v="0"/>
    <x v="0"/>
    <x v="2"/>
    <x v="1"/>
    <x v="1"/>
    <x v="21"/>
    <x v="159"/>
    <x v="56"/>
    <x v="2"/>
    <x v="1"/>
    <x v="0"/>
    <x v="1"/>
    <x v="2"/>
  </r>
  <r>
    <x v="0"/>
    <x v="0"/>
    <x v="2"/>
    <x v="1"/>
    <x v="1"/>
    <x v="22"/>
    <x v="160"/>
    <x v="56"/>
    <x v="3"/>
    <x v="1"/>
    <x v="0"/>
    <x v="1"/>
    <x v="2"/>
  </r>
  <r>
    <x v="0"/>
    <x v="0"/>
    <x v="2"/>
    <x v="1"/>
    <x v="1"/>
    <x v="23"/>
    <x v="161"/>
    <x v="57"/>
    <x v="1"/>
    <x v="1"/>
    <x v="0"/>
    <x v="2"/>
    <x v="2"/>
  </r>
  <r>
    <x v="0"/>
    <x v="0"/>
    <x v="2"/>
    <x v="1"/>
    <x v="1"/>
    <x v="24"/>
    <x v="162"/>
    <x v="57"/>
    <x v="2"/>
    <x v="1"/>
    <x v="0"/>
    <x v="2"/>
    <x v="2"/>
  </r>
  <r>
    <x v="0"/>
    <x v="0"/>
    <x v="2"/>
    <x v="1"/>
    <x v="1"/>
    <x v="25"/>
    <x v="163"/>
    <x v="57"/>
    <x v="3"/>
    <x v="1"/>
    <x v="0"/>
    <x v="2"/>
    <x v="2"/>
  </r>
  <r>
    <x v="0"/>
    <x v="0"/>
    <x v="2"/>
    <x v="1"/>
    <x v="1"/>
    <x v="26"/>
    <x v="164"/>
    <x v="58"/>
    <x v="1"/>
    <x v="1"/>
    <x v="0"/>
    <x v="2"/>
    <x v="2"/>
  </r>
  <r>
    <x v="0"/>
    <x v="0"/>
    <x v="2"/>
    <x v="1"/>
    <x v="1"/>
    <x v="27"/>
    <x v="165"/>
    <x v="58"/>
    <x v="2"/>
    <x v="1"/>
    <x v="0"/>
    <x v="2"/>
    <x v="2"/>
  </r>
  <r>
    <x v="0"/>
    <x v="0"/>
    <x v="2"/>
    <x v="1"/>
    <x v="1"/>
    <x v="28"/>
    <x v="166"/>
    <x v="58"/>
    <x v="3"/>
    <x v="1"/>
    <x v="0"/>
    <x v="2"/>
    <x v="2"/>
  </r>
  <r>
    <x v="0"/>
    <x v="0"/>
    <x v="2"/>
    <x v="1"/>
    <x v="1"/>
    <x v="29"/>
    <x v="167"/>
    <x v="59"/>
    <x v="1"/>
    <x v="1"/>
    <x v="0"/>
    <x v="1"/>
    <x v="2"/>
  </r>
  <r>
    <x v="0"/>
    <x v="0"/>
    <x v="2"/>
    <x v="1"/>
    <x v="1"/>
    <x v="30"/>
    <x v="168"/>
    <x v="59"/>
    <x v="2"/>
    <x v="1"/>
    <x v="0"/>
    <x v="1"/>
    <x v="2"/>
  </r>
  <r>
    <x v="0"/>
    <x v="0"/>
    <x v="2"/>
    <x v="1"/>
    <x v="1"/>
    <x v="31"/>
    <x v="169"/>
    <x v="59"/>
    <x v="3"/>
    <x v="1"/>
    <x v="0"/>
    <x v="1"/>
    <x v="2"/>
  </r>
  <r>
    <x v="0"/>
    <x v="0"/>
    <x v="2"/>
    <x v="1"/>
    <x v="1"/>
    <x v="32"/>
    <x v="170"/>
    <x v="60"/>
    <x v="1"/>
    <x v="1"/>
    <x v="0"/>
    <x v="1"/>
    <x v="2"/>
  </r>
  <r>
    <x v="0"/>
    <x v="0"/>
    <x v="2"/>
    <x v="1"/>
    <x v="1"/>
    <x v="33"/>
    <x v="171"/>
    <x v="60"/>
    <x v="2"/>
    <x v="1"/>
    <x v="0"/>
    <x v="1"/>
    <x v="2"/>
  </r>
  <r>
    <x v="0"/>
    <x v="0"/>
    <x v="2"/>
    <x v="1"/>
    <x v="1"/>
    <x v="34"/>
    <x v="172"/>
    <x v="60"/>
    <x v="3"/>
    <x v="1"/>
    <x v="0"/>
    <x v="1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1"/>
    <x v="173"/>
    <x v="61"/>
    <x v="1"/>
    <x v="1"/>
    <x v="0"/>
    <x v="2"/>
    <x v="3"/>
  </r>
  <r>
    <x v="0"/>
    <x v="0"/>
    <x v="3"/>
    <x v="0"/>
    <x v="0"/>
    <x v="2"/>
    <x v="174"/>
    <x v="61"/>
    <x v="2"/>
    <x v="1"/>
    <x v="0"/>
    <x v="2"/>
    <x v="3"/>
  </r>
  <r>
    <x v="0"/>
    <x v="0"/>
    <x v="3"/>
    <x v="0"/>
    <x v="0"/>
    <x v="3"/>
    <x v="175"/>
    <x v="61"/>
    <x v="3"/>
    <x v="1"/>
    <x v="0"/>
    <x v="2"/>
    <x v="3"/>
  </r>
  <r>
    <x v="0"/>
    <x v="0"/>
    <x v="3"/>
    <x v="0"/>
    <x v="0"/>
    <x v="4"/>
    <x v="176"/>
    <x v="62"/>
    <x v="1"/>
    <x v="1"/>
    <x v="0"/>
    <x v="1"/>
    <x v="3"/>
  </r>
  <r>
    <x v="0"/>
    <x v="0"/>
    <x v="3"/>
    <x v="0"/>
    <x v="0"/>
    <x v="5"/>
    <x v="177"/>
    <x v="62"/>
    <x v="2"/>
    <x v="1"/>
    <x v="0"/>
    <x v="1"/>
    <x v="3"/>
  </r>
  <r>
    <x v="0"/>
    <x v="0"/>
    <x v="3"/>
    <x v="0"/>
    <x v="0"/>
    <x v="6"/>
    <x v="178"/>
    <x v="62"/>
    <x v="3"/>
    <x v="1"/>
    <x v="0"/>
    <x v="1"/>
    <x v="3"/>
  </r>
  <r>
    <x v="0"/>
    <x v="0"/>
    <x v="3"/>
    <x v="0"/>
    <x v="0"/>
    <x v="7"/>
    <x v="1"/>
    <x v="1"/>
    <x v="1"/>
    <x v="1"/>
    <x v="0"/>
    <x v="1"/>
    <x v="3"/>
  </r>
  <r>
    <x v="0"/>
    <x v="0"/>
    <x v="3"/>
    <x v="0"/>
    <x v="0"/>
    <x v="8"/>
    <x v="2"/>
    <x v="1"/>
    <x v="2"/>
    <x v="1"/>
    <x v="0"/>
    <x v="1"/>
    <x v="3"/>
  </r>
  <r>
    <x v="0"/>
    <x v="0"/>
    <x v="3"/>
    <x v="0"/>
    <x v="0"/>
    <x v="9"/>
    <x v="3"/>
    <x v="1"/>
    <x v="3"/>
    <x v="1"/>
    <x v="0"/>
    <x v="1"/>
    <x v="3"/>
  </r>
  <r>
    <x v="0"/>
    <x v="0"/>
    <x v="3"/>
    <x v="0"/>
    <x v="0"/>
    <x v="10"/>
    <x v="4"/>
    <x v="2"/>
    <x v="1"/>
    <x v="1"/>
    <x v="0"/>
    <x v="2"/>
    <x v="3"/>
  </r>
  <r>
    <x v="0"/>
    <x v="0"/>
    <x v="3"/>
    <x v="0"/>
    <x v="0"/>
    <x v="11"/>
    <x v="5"/>
    <x v="2"/>
    <x v="2"/>
    <x v="1"/>
    <x v="0"/>
    <x v="2"/>
    <x v="3"/>
  </r>
  <r>
    <x v="0"/>
    <x v="0"/>
    <x v="3"/>
    <x v="0"/>
    <x v="0"/>
    <x v="12"/>
    <x v="6"/>
    <x v="2"/>
    <x v="3"/>
    <x v="1"/>
    <x v="0"/>
    <x v="2"/>
    <x v="3"/>
  </r>
  <r>
    <x v="0"/>
    <x v="0"/>
    <x v="3"/>
    <x v="0"/>
    <x v="0"/>
    <x v="13"/>
    <x v="10"/>
    <x v="4"/>
    <x v="1"/>
    <x v="1"/>
    <x v="0"/>
    <x v="2"/>
    <x v="3"/>
  </r>
  <r>
    <x v="0"/>
    <x v="0"/>
    <x v="3"/>
    <x v="0"/>
    <x v="0"/>
    <x v="14"/>
    <x v="11"/>
    <x v="4"/>
    <x v="2"/>
    <x v="1"/>
    <x v="0"/>
    <x v="2"/>
    <x v="3"/>
  </r>
  <r>
    <x v="0"/>
    <x v="0"/>
    <x v="3"/>
    <x v="0"/>
    <x v="0"/>
    <x v="15"/>
    <x v="12"/>
    <x v="4"/>
    <x v="3"/>
    <x v="1"/>
    <x v="0"/>
    <x v="2"/>
    <x v="3"/>
  </r>
  <r>
    <x v="0"/>
    <x v="0"/>
    <x v="3"/>
    <x v="0"/>
    <x v="0"/>
    <x v="16"/>
    <x v="7"/>
    <x v="3"/>
    <x v="1"/>
    <x v="1"/>
    <x v="0"/>
    <x v="2"/>
    <x v="3"/>
  </r>
  <r>
    <x v="0"/>
    <x v="0"/>
    <x v="3"/>
    <x v="0"/>
    <x v="0"/>
    <x v="17"/>
    <x v="8"/>
    <x v="3"/>
    <x v="2"/>
    <x v="1"/>
    <x v="0"/>
    <x v="2"/>
    <x v="3"/>
  </r>
  <r>
    <x v="0"/>
    <x v="0"/>
    <x v="3"/>
    <x v="0"/>
    <x v="0"/>
    <x v="18"/>
    <x v="9"/>
    <x v="3"/>
    <x v="3"/>
    <x v="1"/>
    <x v="0"/>
    <x v="2"/>
    <x v="3"/>
  </r>
  <r>
    <x v="0"/>
    <x v="0"/>
    <x v="3"/>
    <x v="0"/>
    <x v="0"/>
    <x v="19"/>
    <x v="142"/>
    <x v="48"/>
    <x v="1"/>
    <x v="1"/>
    <x v="0"/>
    <x v="1"/>
    <x v="3"/>
  </r>
  <r>
    <x v="0"/>
    <x v="0"/>
    <x v="3"/>
    <x v="0"/>
    <x v="0"/>
    <x v="20"/>
    <x v="143"/>
    <x v="48"/>
    <x v="2"/>
    <x v="1"/>
    <x v="0"/>
    <x v="1"/>
    <x v="3"/>
  </r>
  <r>
    <x v="0"/>
    <x v="0"/>
    <x v="3"/>
    <x v="0"/>
    <x v="0"/>
    <x v="21"/>
    <x v="144"/>
    <x v="48"/>
    <x v="3"/>
    <x v="1"/>
    <x v="0"/>
    <x v="1"/>
    <x v="3"/>
  </r>
  <r>
    <x v="0"/>
    <x v="0"/>
    <x v="3"/>
    <x v="0"/>
    <x v="0"/>
    <x v="22"/>
    <x v="16"/>
    <x v="6"/>
    <x v="1"/>
    <x v="1"/>
    <x v="0"/>
    <x v="1"/>
    <x v="3"/>
  </r>
  <r>
    <x v="0"/>
    <x v="0"/>
    <x v="3"/>
    <x v="0"/>
    <x v="0"/>
    <x v="23"/>
    <x v="17"/>
    <x v="6"/>
    <x v="2"/>
    <x v="1"/>
    <x v="0"/>
    <x v="1"/>
    <x v="3"/>
  </r>
  <r>
    <x v="0"/>
    <x v="0"/>
    <x v="3"/>
    <x v="0"/>
    <x v="0"/>
    <x v="24"/>
    <x v="18"/>
    <x v="6"/>
    <x v="3"/>
    <x v="1"/>
    <x v="0"/>
    <x v="1"/>
    <x v="3"/>
  </r>
  <r>
    <x v="0"/>
    <x v="0"/>
    <x v="3"/>
    <x v="0"/>
    <x v="0"/>
    <x v="25"/>
    <x v="40"/>
    <x v="14"/>
    <x v="1"/>
    <x v="1"/>
    <x v="0"/>
    <x v="1"/>
    <x v="3"/>
  </r>
  <r>
    <x v="0"/>
    <x v="0"/>
    <x v="3"/>
    <x v="0"/>
    <x v="0"/>
    <x v="26"/>
    <x v="41"/>
    <x v="14"/>
    <x v="2"/>
    <x v="1"/>
    <x v="0"/>
    <x v="1"/>
    <x v="3"/>
  </r>
  <r>
    <x v="0"/>
    <x v="0"/>
    <x v="3"/>
    <x v="0"/>
    <x v="0"/>
    <x v="27"/>
    <x v="42"/>
    <x v="14"/>
    <x v="3"/>
    <x v="1"/>
    <x v="0"/>
    <x v="1"/>
    <x v="3"/>
  </r>
  <r>
    <x v="0"/>
    <x v="0"/>
    <x v="3"/>
    <x v="0"/>
    <x v="0"/>
    <x v="28"/>
    <x v="179"/>
    <x v="63"/>
    <x v="1"/>
    <x v="1"/>
    <x v="0"/>
    <x v="2"/>
    <x v="3"/>
  </r>
  <r>
    <x v="0"/>
    <x v="0"/>
    <x v="3"/>
    <x v="0"/>
    <x v="0"/>
    <x v="29"/>
    <x v="180"/>
    <x v="63"/>
    <x v="2"/>
    <x v="1"/>
    <x v="0"/>
    <x v="2"/>
    <x v="3"/>
  </r>
  <r>
    <x v="0"/>
    <x v="0"/>
    <x v="3"/>
    <x v="0"/>
    <x v="0"/>
    <x v="30"/>
    <x v="181"/>
    <x v="63"/>
    <x v="3"/>
    <x v="1"/>
    <x v="0"/>
    <x v="2"/>
    <x v="3"/>
  </r>
  <r>
    <x v="0"/>
    <x v="0"/>
    <x v="3"/>
    <x v="0"/>
    <x v="0"/>
    <x v="31"/>
    <x v="182"/>
    <x v="64"/>
    <x v="1"/>
    <x v="1"/>
    <x v="0"/>
    <x v="1"/>
    <x v="3"/>
  </r>
  <r>
    <x v="0"/>
    <x v="0"/>
    <x v="3"/>
    <x v="0"/>
    <x v="0"/>
    <x v="32"/>
    <x v="183"/>
    <x v="64"/>
    <x v="2"/>
    <x v="1"/>
    <x v="0"/>
    <x v="1"/>
    <x v="3"/>
  </r>
  <r>
    <x v="0"/>
    <x v="0"/>
    <x v="3"/>
    <x v="0"/>
    <x v="0"/>
    <x v="33"/>
    <x v="184"/>
    <x v="64"/>
    <x v="3"/>
    <x v="1"/>
    <x v="0"/>
    <x v="1"/>
    <x v="3"/>
  </r>
  <r>
    <x v="0"/>
    <x v="0"/>
    <x v="3"/>
    <x v="0"/>
    <x v="0"/>
    <x v="34"/>
    <x v="31"/>
    <x v="11"/>
    <x v="1"/>
    <x v="1"/>
    <x v="0"/>
    <x v="2"/>
    <x v="3"/>
  </r>
  <r>
    <x v="0"/>
    <x v="0"/>
    <x v="3"/>
    <x v="0"/>
    <x v="0"/>
    <x v="35"/>
    <x v="32"/>
    <x v="11"/>
    <x v="2"/>
    <x v="1"/>
    <x v="0"/>
    <x v="2"/>
    <x v="3"/>
  </r>
  <r>
    <x v="0"/>
    <x v="0"/>
    <x v="3"/>
    <x v="0"/>
    <x v="0"/>
    <x v="36"/>
    <x v="33"/>
    <x v="11"/>
    <x v="3"/>
    <x v="1"/>
    <x v="0"/>
    <x v="2"/>
    <x v="3"/>
  </r>
  <r>
    <x v="0"/>
    <x v="0"/>
    <x v="3"/>
    <x v="0"/>
    <x v="0"/>
    <x v="37"/>
    <x v="28"/>
    <x v="10"/>
    <x v="1"/>
    <x v="1"/>
    <x v="0"/>
    <x v="2"/>
    <x v="3"/>
  </r>
  <r>
    <x v="0"/>
    <x v="0"/>
    <x v="3"/>
    <x v="0"/>
    <x v="0"/>
    <x v="38"/>
    <x v="29"/>
    <x v="10"/>
    <x v="2"/>
    <x v="1"/>
    <x v="0"/>
    <x v="2"/>
    <x v="3"/>
  </r>
  <r>
    <x v="0"/>
    <x v="0"/>
    <x v="3"/>
    <x v="0"/>
    <x v="0"/>
    <x v="39"/>
    <x v="30"/>
    <x v="10"/>
    <x v="3"/>
    <x v="1"/>
    <x v="0"/>
    <x v="2"/>
    <x v="3"/>
  </r>
  <r>
    <x v="0"/>
    <x v="0"/>
    <x v="3"/>
    <x v="0"/>
    <x v="0"/>
    <x v="40"/>
    <x v="139"/>
    <x v="47"/>
    <x v="1"/>
    <x v="1"/>
    <x v="0"/>
    <x v="1"/>
    <x v="3"/>
  </r>
  <r>
    <x v="0"/>
    <x v="0"/>
    <x v="3"/>
    <x v="0"/>
    <x v="0"/>
    <x v="41"/>
    <x v="140"/>
    <x v="47"/>
    <x v="2"/>
    <x v="1"/>
    <x v="0"/>
    <x v="1"/>
    <x v="3"/>
  </r>
  <r>
    <x v="0"/>
    <x v="0"/>
    <x v="3"/>
    <x v="0"/>
    <x v="0"/>
    <x v="42"/>
    <x v="141"/>
    <x v="47"/>
    <x v="3"/>
    <x v="1"/>
    <x v="0"/>
    <x v="1"/>
    <x v="3"/>
  </r>
  <r>
    <x v="0"/>
    <x v="0"/>
    <x v="3"/>
    <x v="0"/>
    <x v="0"/>
    <x v="43"/>
    <x v="185"/>
    <x v="65"/>
    <x v="1"/>
    <x v="1"/>
    <x v="0"/>
    <x v="2"/>
    <x v="3"/>
  </r>
  <r>
    <x v="0"/>
    <x v="0"/>
    <x v="3"/>
    <x v="0"/>
    <x v="0"/>
    <x v="44"/>
    <x v="186"/>
    <x v="65"/>
    <x v="2"/>
    <x v="1"/>
    <x v="0"/>
    <x v="2"/>
    <x v="3"/>
  </r>
  <r>
    <x v="0"/>
    <x v="0"/>
    <x v="3"/>
    <x v="0"/>
    <x v="0"/>
    <x v="45"/>
    <x v="187"/>
    <x v="65"/>
    <x v="3"/>
    <x v="1"/>
    <x v="0"/>
    <x v="2"/>
    <x v="3"/>
  </r>
  <r>
    <x v="0"/>
    <x v="0"/>
    <x v="3"/>
    <x v="0"/>
    <x v="0"/>
    <x v="46"/>
    <x v="49"/>
    <x v="17"/>
    <x v="1"/>
    <x v="1"/>
    <x v="0"/>
    <x v="2"/>
    <x v="3"/>
  </r>
  <r>
    <x v="0"/>
    <x v="0"/>
    <x v="3"/>
    <x v="0"/>
    <x v="0"/>
    <x v="47"/>
    <x v="50"/>
    <x v="17"/>
    <x v="2"/>
    <x v="1"/>
    <x v="0"/>
    <x v="2"/>
    <x v="3"/>
  </r>
  <r>
    <x v="0"/>
    <x v="0"/>
    <x v="3"/>
    <x v="0"/>
    <x v="0"/>
    <x v="48"/>
    <x v="51"/>
    <x v="17"/>
    <x v="3"/>
    <x v="1"/>
    <x v="0"/>
    <x v="2"/>
    <x v="3"/>
  </r>
  <r>
    <x v="0"/>
    <x v="0"/>
    <x v="3"/>
    <x v="0"/>
    <x v="0"/>
    <x v="49"/>
    <x v="52"/>
    <x v="18"/>
    <x v="1"/>
    <x v="1"/>
    <x v="0"/>
    <x v="2"/>
    <x v="3"/>
  </r>
  <r>
    <x v="0"/>
    <x v="0"/>
    <x v="3"/>
    <x v="0"/>
    <x v="0"/>
    <x v="50"/>
    <x v="53"/>
    <x v="18"/>
    <x v="2"/>
    <x v="1"/>
    <x v="0"/>
    <x v="2"/>
    <x v="3"/>
  </r>
  <r>
    <x v="0"/>
    <x v="0"/>
    <x v="3"/>
    <x v="0"/>
    <x v="0"/>
    <x v="51"/>
    <x v="54"/>
    <x v="18"/>
    <x v="3"/>
    <x v="1"/>
    <x v="0"/>
    <x v="2"/>
    <x v="3"/>
  </r>
  <r>
    <x v="0"/>
    <x v="0"/>
    <x v="3"/>
    <x v="0"/>
    <x v="0"/>
    <x v="52"/>
    <x v="55"/>
    <x v="19"/>
    <x v="1"/>
    <x v="1"/>
    <x v="0"/>
    <x v="2"/>
    <x v="3"/>
  </r>
  <r>
    <x v="0"/>
    <x v="0"/>
    <x v="3"/>
    <x v="0"/>
    <x v="0"/>
    <x v="53"/>
    <x v="56"/>
    <x v="19"/>
    <x v="2"/>
    <x v="1"/>
    <x v="0"/>
    <x v="2"/>
    <x v="3"/>
  </r>
  <r>
    <x v="0"/>
    <x v="0"/>
    <x v="3"/>
    <x v="0"/>
    <x v="0"/>
    <x v="54"/>
    <x v="57"/>
    <x v="19"/>
    <x v="3"/>
    <x v="1"/>
    <x v="0"/>
    <x v="2"/>
    <x v="3"/>
  </r>
  <r>
    <x v="0"/>
    <x v="0"/>
    <x v="3"/>
    <x v="0"/>
    <x v="0"/>
    <x v="55"/>
    <x v="58"/>
    <x v="20"/>
    <x v="1"/>
    <x v="1"/>
    <x v="0"/>
    <x v="1"/>
    <x v="3"/>
  </r>
  <r>
    <x v="0"/>
    <x v="0"/>
    <x v="3"/>
    <x v="0"/>
    <x v="0"/>
    <x v="56"/>
    <x v="59"/>
    <x v="20"/>
    <x v="2"/>
    <x v="1"/>
    <x v="0"/>
    <x v="1"/>
    <x v="3"/>
  </r>
  <r>
    <x v="0"/>
    <x v="0"/>
    <x v="3"/>
    <x v="0"/>
    <x v="0"/>
    <x v="57"/>
    <x v="60"/>
    <x v="20"/>
    <x v="3"/>
    <x v="1"/>
    <x v="0"/>
    <x v="1"/>
    <x v="3"/>
  </r>
  <r>
    <x v="0"/>
    <x v="0"/>
    <x v="3"/>
    <x v="0"/>
    <x v="0"/>
    <x v="58"/>
    <x v="188"/>
    <x v="66"/>
    <x v="1"/>
    <x v="1"/>
    <x v="0"/>
    <x v="2"/>
    <x v="3"/>
  </r>
  <r>
    <x v="0"/>
    <x v="0"/>
    <x v="3"/>
    <x v="0"/>
    <x v="0"/>
    <x v="59"/>
    <x v="189"/>
    <x v="66"/>
    <x v="2"/>
    <x v="1"/>
    <x v="0"/>
    <x v="2"/>
    <x v="3"/>
  </r>
  <r>
    <x v="0"/>
    <x v="0"/>
    <x v="3"/>
    <x v="0"/>
    <x v="0"/>
    <x v="60"/>
    <x v="190"/>
    <x v="66"/>
    <x v="3"/>
    <x v="1"/>
    <x v="0"/>
    <x v="2"/>
    <x v="3"/>
  </r>
  <r>
    <x v="0"/>
    <x v="0"/>
    <x v="4"/>
    <x v="1"/>
    <x v="2"/>
    <x v="0"/>
    <x v="0"/>
    <x v="0"/>
    <x v="0"/>
    <x v="0"/>
    <x v="0"/>
    <x v="0"/>
    <x v="4"/>
  </r>
  <r>
    <x v="0"/>
    <x v="0"/>
    <x v="4"/>
    <x v="1"/>
    <x v="2"/>
    <x v="1"/>
    <x v="191"/>
    <x v="67"/>
    <x v="0"/>
    <x v="0"/>
    <x v="0"/>
    <x v="0"/>
    <x v="4"/>
  </r>
  <r>
    <x v="0"/>
    <x v="0"/>
    <x v="4"/>
    <x v="1"/>
    <x v="2"/>
    <x v="2"/>
    <x v="192"/>
    <x v="68"/>
    <x v="0"/>
    <x v="0"/>
    <x v="0"/>
    <x v="0"/>
    <x v="4"/>
  </r>
  <r>
    <x v="0"/>
    <x v="0"/>
    <x v="4"/>
    <x v="1"/>
    <x v="2"/>
    <x v="3"/>
    <x v="193"/>
    <x v="69"/>
    <x v="0"/>
    <x v="0"/>
    <x v="0"/>
    <x v="0"/>
    <x v="4"/>
  </r>
  <r>
    <x v="0"/>
    <x v="0"/>
    <x v="4"/>
    <x v="1"/>
    <x v="2"/>
    <x v="4"/>
    <x v="194"/>
    <x v="70"/>
    <x v="0"/>
    <x v="0"/>
    <x v="0"/>
    <x v="0"/>
    <x v="4"/>
  </r>
  <r>
    <x v="0"/>
    <x v="0"/>
    <x v="4"/>
    <x v="1"/>
    <x v="2"/>
    <x v="5"/>
    <x v="195"/>
    <x v="71"/>
    <x v="0"/>
    <x v="0"/>
    <x v="0"/>
    <x v="0"/>
    <x v="4"/>
  </r>
  <r>
    <x v="0"/>
    <x v="0"/>
    <x v="4"/>
    <x v="1"/>
    <x v="2"/>
    <x v="6"/>
    <x v="196"/>
    <x v="72"/>
    <x v="0"/>
    <x v="0"/>
    <x v="0"/>
    <x v="0"/>
    <x v="4"/>
  </r>
  <r>
    <x v="0"/>
    <x v="0"/>
    <x v="4"/>
    <x v="1"/>
    <x v="2"/>
    <x v="7"/>
    <x v="1"/>
    <x v="1"/>
    <x v="1"/>
    <x v="1"/>
    <x v="0"/>
    <x v="1"/>
    <x v="4"/>
  </r>
  <r>
    <x v="0"/>
    <x v="0"/>
    <x v="4"/>
    <x v="1"/>
    <x v="2"/>
    <x v="8"/>
    <x v="4"/>
    <x v="2"/>
    <x v="1"/>
    <x v="1"/>
    <x v="0"/>
    <x v="2"/>
    <x v="4"/>
  </r>
  <r>
    <x v="0"/>
    <x v="0"/>
    <x v="4"/>
    <x v="1"/>
    <x v="2"/>
    <x v="9"/>
    <x v="10"/>
    <x v="4"/>
    <x v="1"/>
    <x v="1"/>
    <x v="0"/>
    <x v="2"/>
    <x v="4"/>
  </r>
  <r>
    <x v="0"/>
    <x v="0"/>
    <x v="4"/>
    <x v="1"/>
    <x v="2"/>
    <x v="10"/>
    <x v="7"/>
    <x v="3"/>
    <x v="1"/>
    <x v="1"/>
    <x v="0"/>
    <x v="2"/>
    <x v="4"/>
  </r>
  <r>
    <x v="0"/>
    <x v="0"/>
    <x v="4"/>
    <x v="1"/>
    <x v="2"/>
    <x v="11"/>
    <x v="142"/>
    <x v="48"/>
    <x v="1"/>
    <x v="1"/>
    <x v="0"/>
    <x v="1"/>
    <x v="4"/>
  </r>
  <r>
    <x v="0"/>
    <x v="0"/>
    <x v="4"/>
    <x v="1"/>
    <x v="2"/>
    <x v="12"/>
    <x v="16"/>
    <x v="6"/>
    <x v="1"/>
    <x v="1"/>
    <x v="0"/>
    <x v="1"/>
    <x v="4"/>
  </r>
  <r>
    <x v="0"/>
    <x v="0"/>
    <x v="4"/>
    <x v="1"/>
    <x v="2"/>
    <x v="13"/>
    <x v="40"/>
    <x v="14"/>
    <x v="1"/>
    <x v="1"/>
    <x v="0"/>
    <x v="1"/>
    <x v="4"/>
  </r>
  <r>
    <x v="0"/>
    <x v="0"/>
    <x v="4"/>
    <x v="1"/>
    <x v="2"/>
    <x v="14"/>
    <x v="43"/>
    <x v="15"/>
    <x v="1"/>
    <x v="1"/>
    <x v="0"/>
    <x v="1"/>
    <x v="4"/>
  </r>
  <r>
    <x v="0"/>
    <x v="0"/>
    <x v="4"/>
    <x v="1"/>
    <x v="2"/>
    <x v="15"/>
    <x v="49"/>
    <x v="17"/>
    <x v="1"/>
    <x v="1"/>
    <x v="0"/>
    <x v="2"/>
    <x v="4"/>
  </r>
  <r>
    <x v="0"/>
    <x v="0"/>
    <x v="4"/>
    <x v="1"/>
    <x v="2"/>
    <x v="16"/>
    <x v="52"/>
    <x v="18"/>
    <x v="1"/>
    <x v="1"/>
    <x v="0"/>
    <x v="2"/>
    <x v="4"/>
  </r>
  <r>
    <x v="0"/>
    <x v="0"/>
    <x v="4"/>
    <x v="1"/>
    <x v="2"/>
    <x v="17"/>
    <x v="55"/>
    <x v="19"/>
    <x v="1"/>
    <x v="1"/>
    <x v="0"/>
    <x v="2"/>
    <x v="4"/>
  </r>
  <r>
    <x v="0"/>
    <x v="0"/>
    <x v="4"/>
    <x v="1"/>
    <x v="2"/>
    <x v="18"/>
    <x v="31"/>
    <x v="11"/>
    <x v="1"/>
    <x v="1"/>
    <x v="0"/>
    <x v="2"/>
    <x v="4"/>
  </r>
  <r>
    <x v="0"/>
    <x v="0"/>
    <x v="4"/>
    <x v="1"/>
    <x v="2"/>
    <x v="19"/>
    <x v="28"/>
    <x v="10"/>
    <x v="1"/>
    <x v="1"/>
    <x v="0"/>
    <x v="2"/>
    <x v="4"/>
  </r>
  <r>
    <x v="0"/>
    <x v="0"/>
    <x v="4"/>
    <x v="1"/>
    <x v="2"/>
    <x v="20"/>
    <x v="61"/>
    <x v="21"/>
    <x v="1"/>
    <x v="1"/>
    <x v="0"/>
    <x v="0"/>
    <x v="4"/>
  </r>
  <r>
    <x v="0"/>
    <x v="0"/>
    <x v="4"/>
    <x v="1"/>
    <x v="2"/>
    <x v="21"/>
    <x v="64"/>
    <x v="22"/>
    <x v="1"/>
    <x v="1"/>
    <x v="0"/>
    <x v="0"/>
    <x v="4"/>
  </r>
  <r>
    <x v="0"/>
    <x v="0"/>
    <x v="4"/>
    <x v="1"/>
    <x v="2"/>
    <x v="22"/>
    <x v="34"/>
    <x v="12"/>
    <x v="1"/>
    <x v="1"/>
    <x v="0"/>
    <x v="1"/>
    <x v="4"/>
  </r>
  <r>
    <x v="0"/>
    <x v="0"/>
    <x v="4"/>
    <x v="1"/>
    <x v="2"/>
    <x v="23"/>
    <x v="139"/>
    <x v="47"/>
    <x v="1"/>
    <x v="1"/>
    <x v="0"/>
    <x v="1"/>
    <x v="4"/>
  </r>
  <r>
    <x v="0"/>
    <x v="0"/>
    <x v="4"/>
    <x v="1"/>
    <x v="2"/>
    <x v="24"/>
    <x v="197"/>
    <x v="73"/>
    <x v="1"/>
    <x v="1"/>
    <x v="0"/>
    <x v="1"/>
    <x v="4"/>
  </r>
  <r>
    <x v="0"/>
    <x v="0"/>
    <x v="4"/>
    <x v="1"/>
    <x v="2"/>
    <x v="25"/>
    <x v="198"/>
    <x v="74"/>
    <x v="1"/>
    <x v="1"/>
    <x v="0"/>
    <x v="2"/>
    <x v="4"/>
  </r>
  <r>
    <x v="0"/>
    <x v="0"/>
    <x v="4"/>
    <x v="1"/>
    <x v="2"/>
    <x v="26"/>
    <x v="199"/>
    <x v="75"/>
    <x v="1"/>
    <x v="1"/>
    <x v="0"/>
    <x v="2"/>
    <x v="4"/>
  </r>
  <r>
    <x v="0"/>
    <x v="1"/>
    <x v="5"/>
    <x v="2"/>
    <x v="3"/>
    <x v="0"/>
    <x v="200"/>
    <x v="76"/>
    <x v="1"/>
    <x v="1"/>
    <x v="0"/>
    <x v="0"/>
    <x v="5"/>
  </r>
  <r>
    <x v="0"/>
    <x v="1"/>
    <x v="5"/>
    <x v="2"/>
    <x v="3"/>
    <x v="1"/>
    <x v="201"/>
    <x v="77"/>
    <x v="1"/>
    <x v="1"/>
    <x v="0"/>
    <x v="0"/>
    <x v="5"/>
  </r>
  <r>
    <x v="0"/>
    <x v="1"/>
    <x v="5"/>
    <x v="2"/>
    <x v="3"/>
    <x v="2"/>
    <x v="202"/>
    <x v="78"/>
    <x v="1"/>
    <x v="1"/>
    <x v="0"/>
    <x v="0"/>
    <x v="5"/>
  </r>
  <r>
    <x v="0"/>
    <x v="1"/>
    <x v="5"/>
    <x v="2"/>
    <x v="3"/>
    <x v="3"/>
    <x v="203"/>
    <x v="79"/>
    <x v="1"/>
    <x v="1"/>
    <x v="0"/>
    <x v="2"/>
    <x v="5"/>
  </r>
  <r>
    <x v="0"/>
    <x v="1"/>
    <x v="5"/>
    <x v="2"/>
    <x v="3"/>
    <x v="4"/>
    <x v="204"/>
    <x v="80"/>
    <x v="1"/>
    <x v="1"/>
    <x v="0"/>
    <x v="2"/>
    <x v="5"/>
  </r>
  <r>
    <x v="0"/>
    <x v="1"/>
    <x v="5"/>
    <x v="2"/>
    <x v="3"/>
    <x v="5"/>
    <x v="205"/>
    <x v="81"/>
    <x v="1"/>
    <x v="1"/>
    <x v="0"/>
    <x v="0"/>
    <x v="5"/>
  </r>
  <r>
    <x v="0"/>
    <x v="1"/>
    <x v="5"/>
    <x v="2"/>
    <x v="3"/>
    <x v="6"/>
    <x v="206"/>
    <x v="82"/>
    <x v="1"/>
    <x v="1"/>
    <x v="0"/>
    <x v="0"/>
    <x v="5"/>
  </r>
  <r>
    <x v="0"/>
    <x v="1"/>
    <x v="5"/>
    <x v="2"/>
    <x v="3"/>
    <x v="7"/>
    <x v="207"/>
    <x v="83"/>
    <x v="1"/>
    <x v="1"/>
    <x v="0"/>
    <x v="1"/>
    <x v="5"/>
  </r>
  <r>
    <x v="0"/>
    <x v="1"/>
    <x v="5"/>
    <x v="2"/>
    <x v="3"/>
    <x v="8"/>
    <x v="208"/>
    <x v="84"/>
    <x v="1"/>
    <x v="1"/>
    <x v="0"/>
    <x v="1"/>
    <x v="5"/>
  </r>
  <r>
    <x v="0"/>
    <x v="1"/>
    <x v="5"/>
    <x v="2"/>
    <x v="3"/>
    <x v="9"/>
    <x v="209"/>
    <x v="85"/>
    <x v="1"/>
    <x v="1"/>
    <x v="0"/>
    <x v="0"/>
    <x v="5"/>
  </r>
  <r>
    <x v="0"/>
    <x v="1"/>
    <x v="5"/>
    <x v="2"/>
    <x v="3"/>
    <x v="10"/>
    <x v="210"/>
    <x v="86"/>
    <x v="1"/>
    <x v="1"/>
    <x v="0"/>
    <x v="0"/>
    <x v="5"/>
  </r>
  <r>
    <x v="0"/>
    <x v="1"/>
    <x v="5"/>
    <x v="2"/>
    <x v="3"/>
    <x v="11"/>
    <x v="211"/>
    <x v="87"/>
    <x v="1"/>
    <x v="1"/>
    <x v="0"/>
    <x v="2"/>
    <x v="5"/>
  </r>
  <r>
    <x v="0"/>
    <x v="1"/>
    <x v="5"/>
    <x v="2"/>
    <x v="3"/>
    <x v="12"/>
    <x v="212"/>
    <x v="88"/>
    <x v="1"/>
    <x v="1"/>
    <x v="0"/>
    <x v="1"/>
    <x v="5"/>
  </r>
  <r>
    <x v="0"/>
    <x v="1"/>
    <x v="5"/>
    <x v="2"/>
    <x v="3"/>
    <x v="13"/>
    <x v="213"/>
    <x v="89"/>
    <x v="1"/>
    <x v="1"/>
    <x v="0"/>
    <x v="2"/>
    <x v="5"/>
  </r>
  <r>
    <x v="0"/>
    <x v="1"/>
    <x v="5"/>
    <x v="2"/>
    <x v="3"/>
    <x v="14"/>
    <x v="214"/>
    <x v="90"/>
    <x v="1"/>
    <x v="1"/>
    <x v="0"/>
    <x v="1"/>
    <x v="5"/>
  </r>
  <r>
    <x v="0"/>
    <x v="1"/>
    <x v="5"/>
    <x v="2"/>
    <x v="3"/>
    <x v="15"/>
    <x v="215"/>
    <x v="91"/>
    <x v="1"/>
    <x v="1"/>
    <x v="0"/>
    <x v="2"/>
    <x v="5"/>
  </r>
  <r>
    <x v="0"/>
    <x v="1"/>
    <x v="5"/>
    <x v="2"/>
    <x v="3"/>
    <x v="16"/>
    <x v="216"/>
    <x v="92"/>
    <x v="1"/>
    <x v="1"/>
    <x v="0"/>
    <x v="1"/>
    <x v="5"/>
  </r>
  <r>
    <x v="0"/>
    <x v="1"/>
    <x v="5"/>
    <x v="2"/>
    <x v="3"/>
    <x v="17"/>
    <x v="217"/>
    <x v="93"/>
    <x v="1"/>
    <x v="1"/>
    <x v="0"/>
    <x v="2"/>
    <x v="5"/>
  </r>
  <r>
    <x v="0"/>
    <x v="1"/>
    <x v="5"/>
    <x v="2"/>
    <x v="3"/>
    <x v="18"/>
    <x v="218"/>
    <x v="94"/>
    <x v="1"/>
    <x v="1"/>
    <x v="0"/>
    <x v="1"/>
    <x v="5"/>
  </r>
  <r>
    <x v="0"/>
    <x v="1"/>
    <x v="5"/>
    <x v="2"/>
    <x v="3"/>
    <x v="19"/>
    <x v="219"/>
    <x v="95"/>
    <x v="1"/>
    <x v="1"/>
    <x v="0"/>
    <x v="2"/>
    <x v="5"/>
  </r>
  <r>
    <x v="0"/>
    <x v="1"/>
    <x v="5"/>
    <x v="2"/>
    <x v="3"/>
    <x v="20"/>
    <x v="220"/>
    <x v="96"/>
    <x v="1"/>
    <x v="1"/>
    <x v="0"/>
    <x v="2"/>
    <x v="5"/>
  </r>
  <r>
    <x v="0"/>
    <x v="1"/>
    <x v="5"/>
    <x v="2"/>
    <x v="3"/>
    <x v="21"/>
    <x v="221"/>
    <x v="97"/>
    <x v="1"/>
    <x v="1"/>
    <x v="0"/>
    <x v="2"/>
    <x v="5"/>
  </r>
  <r>
    <x v="0"/>
    <x v="1"/>
    <x v="5"/>
    <x v="2"/>
    <x v="3"/>
    <x v="22"/>
    <x v="222"/>
    <x v="98"/>
    <x v="1"/>
    <x v="1"/>
    <x v="0"/>
    <x v="0"/>
    <x v="5"/>
  </r>
  <r>
    <x v="0"/>
    <x v="1"/>
    <x v="5"/>
    <x v="2"/>
    <x v="3"/>
    <x v="23"/>
    <x v="223"/>
    <x v="99"/>
    <x v="1"/>
    <x v="1"/>
    <x v="0"/>
    <x v="1"/>
    <x v="5"/>
  </r>
  <r>
    <x v="0"/>
    <x v="1"/>
    <x v="5"/>
    <x v="2"/>
    <x v="3"/>
    <x v="24"/>
    <x v="224"/>
    <x v="100"/>
    <x v="1"/>
    <x v="1"/>
    <x v="0"/>
    <x v="0"/>
    <x v="5"/>
  </r>
  <r>
    <x v="0"/>
    <x v="1"/>
    <x v="5"/>
    <x v="2"/>
    <x v="3"/>
    <x v="25"/>
    <x v="225"/>
    <x v="101"/>
    <x v="1"/>
    <x v="1"/>
    <x v="0"/>
    <x v="1"/>
    <x v="5"/>
  </r>
  <r>
    <x v="0"/>
    <x v="1"/>
    <x v="5"/>
    <x v="2"/>
    <x v="3"/>
    <x v="26"/>
    <x v="226"/>
    <x v="102"/>
    <x v="1"/>
    <x v="1"/>
    <x v="0"/>
    <x v="1"/>
    <x v="5"/>
  </r>
  <r>
    <x v="0"/>
    <x v="1"/>
    <x v="5"/>
    <x v="2"/>
    <x v="3"/>
    <x v="27"/>
    <x v="227"/>
    <x v="103"/>
    <x v="1"/>
    <x v="1"/>
    <x v="0"/>
    <x v="1"/>
    <x v="5"/>
  </r>
  <r>
    <x v="0"/>
    <x v="1"/>
    <x v="5"/>
    <x v="2"/>
    <x v="3"/>
    <x v="28"/>
    <x v="228"/>
    <x v="104"/>
    <x v="1"/>
    <x v="1"/>
    <x v="0"/>
    <x v="2"/>
    <x v="5"/>
  </r>
  <r>
    <x v="0"/>
    <x v="1"/>
    <x v="5"/>
    <x v="2"/>
    <x v="3"/>
    <x v="29"/>
    <x v="229"/>
    <x v="105"/>
    <x v="1"/>
    <x v="1"/>
    <x v="0"/>
    <x v="2"/>
    <x v="5"/>
  </r>
  <r>
    <x v="0"/>
    <x v="1"/>
    <x v="5"/>
    <x v="2"/>
    <x v="3"/>
    <x v="30"/>
    <x v="230"/>
    <x v="106"/>
    <x v="1"/>
    <x v="1"/>
    <x v="0"/>
    <x v="2"/>
    <x v="5"/>
  </r>
  <r>
    <x v="0"/>
    <x v="1"/>
    <x v="5"/>
    <x v="2"/>
    <x v="3"/>
    <x v="31"/>
    <x v="231"/>
    <x v="107"/>
    <x v="1"/>
    <x v="1"/>
    <x v="0"/>
    <x v="2"/>
    <x v="5"/>
  </r>
  <r>
    <x v="0"/>
    <x v="1"/>
    <x v="5"/>
    <x v="2"/>
    <x v="3"/>
    <x v="32"/>
    <x v="232"/>
    <x v="108"/>
    <x v="1"/>
    <x v="1"/>
    <x v="0"/>
    <x v="1"/>
    <x v="5"/>
  </r>
  <r>
    <x v="0"/>
    <x v="1"/>
    <x v="5"/>
    <x v="2"/>
    <x v="3"/>
    <x v="33"/>
    <x v="233"/>
    <x v="109"/>
    <x v="1"/>
    <x v="1"/>
    <x v="0"/>
    <x v="2"/>
    <x v="5"/>
  </r>
  <r>
    <x v="0"/>
    <x v="1"/>
    <x v="5"/>
    <x v="2"/>
    <x v="3"/>
    <x v="34"/>
    <x v="234"/>
    <x v="110"/>
    <x v="1"/>
    <x v="1"/>
    <x v="0"/>
    <x v="1"/>
    <x v="5"/>
  </r>
  <r>
    <x v="0"/>
    <x v="1"/>
    <x v="5"/>
    <x v="2"/>
    <x v="3"/>
    <x v="35"/>
    <x v="235"/>
    <x v="111"/>
    <x v="1"/>
    <x v="1"/>
    <x v="0"/>
    <x v="2"/>
    <x v="5"/>
  </r>
  <r>
    <x v="0"/>
    <x v="1"/>
    <x v="5"/>
    <x v="2"/>
    <x v="3"/>
    <x v="36"/>
    <x v="236"/>
    <x v="112"/>
    <x v="1"/>
    <x v="1"/>
    <x v="0"/>
    <x v="1"/>
    <x v="5"/>
  </r>
  <r>
    <x v="0"/>
    <x v="1"/>
    <x v="6"/>
    <x v="2"/>
    <x v="3"/>
    <x v="0"/>
    <x v="237"/>
    <x v="113"/>
    <x v="0"/>
    <x v="0"/>
    <x v="0"/>
    <x v="0"/>
    <x v="6"/>
  </r>
  <r>
    <x v="0"/>
    <x v="1"/>
    <x v="6"/>
    <x v="2"/>
    <x v="3"/>
    <x v="1"/>
    <x v="238"/>
    <x v="114"/>
    <x v="0"/>
    <x v="0"/>
    <x v="0"/>
    <x v="0"/>
    <x v="6"/>
  </r>
  <r>
    <x v="0"/>
    <x v="1"/>
    <x v="6"/>
    <x v="2"/>
    <x v="3"/>
    <x v="2"/>
    <x v="239"/>
    <x v="115"/>
    <x v="0"/>
    <x v="0"/>
    <x v="0"/>
    <x v="0"/>
    <x v="6"/>
  </r>
  <r>
    <x v="0"/>
    <x v="1"/>
    <x v="6"/>
    <x v="2"/>
    <x v="3"/>
    <x v="3"/>
    <x v="240"/>
    <x v="116"/>
    <x v="0"/>
    <x v="0"/>
    <x v="0"/>
    <x v="0"/>
    <x v="6"/>
  </r>
  <r>
    <x v="0"/>
    <x v="1"/>
    <x v="6"/>
    <x v="2"/>
    <x v="3"/>
    <x v="4"/>
    <x v="241"/>
    <x v="117"/>
    <x v="0"/>
    <x v="0"/>
    <x v="0"/>
    <x v="0"/>
    <x v="6"/>
  </r>
  <r>
    <x v="0"/>
    <x v="1"/>
    <x v="6"/>
    <x v="2"/>
    <x v="3"/>
    <x v="5"/>
    <x v="242"/>
    <x v="118"/>
    <x v="0"/>
    <x v="0"/>
    <x v="0"/>
    <x v="0"/>
    <x v="6"/>
  </r>
  <r>
    <x v="0"/>
    <x v="1"/>
    <x v="6"/>
    <x v="2"/>
    <x v="3"/>
    <x v="6"/>
    <x v="243"/>
    <x v="119"/>
    <x v="1"/>
    <x v="1"/>
    <x v="0"/>
    <x v="0"/>
    <x v="6"/>
  </r>
  <r>
    <x v="0"/>
    <x v="1"/>
    <x v="6"/>
    <x v="2"/>
    <x v="3"/>
    <x v="7"/>
    <x v="244"/>
    <x v="120"/>
    <x v="0"/>
    <x v="0"/>
    <x v="0"/>
    <x v="0"/>
    <x v="6"/>
  </r>
  <r>
    <x v="0"/>
    <x v="1"/>
    <x v="6"/>
    <x v="2"/>
    <x v="3"/>
    <x v="8"/>
    <x v="206"/>
    <x v="82"/>
    <x v="1"/>
    <x v="1"/>
    <x v="0"/>
    <x v="0"/>
    <x v="6"/>
  </r>
  <r>
    <x v="0"/>
    <x v="1"/>
    <x v="6"/>
    <x v="2"/>
    <x v="3"/>
    <x v="9"/>
    <x v="245"/>
    <x v="121"/>
    <x v="1"/>
    <x v="1"/>
    <x v="0"/>
    <x v="1"/>
    <x v="6"/>
  </r>
  <r>
    <x v="0"/>
    <x v="1"/>
    <x v="6"/>
    <x v="2"/>
    <x v="3"/>
    <x v="10"/>
    <x v="246"/>
    <x v="122"/>
    <x v="1"/>
    <x v="1"/>
    <x v="0"/>
    <x v="0"/>
    <x v="6"/>
  </r>
  <r>
    <x v="0"/>
    <x v="1"/>
    <x v="6"/>
    <x v="2"/>
    <x v="3"/>
    <x v="11"/>
    <x v="247"/>
    <x v="123"/>
    <x v="1"/>
    <x v="1"/>
    <x v="0"/>
    <x v="2"/>
    <x v="6"/>
  </r>
  <r>
    <x v="0"/>
    <x v="1"/>
    <x v="6"/>
    <x v="2"/>
    <x v="3"/>
    <x v="12"/>
    <x v="248"/>
    <x v="124"/>
    <x v="1"/>
    <x v="1"/>
    <x v="0"/>
    <x v="1"/>
    <x v="6"/>
  </r>
  <r>
    <x v="0"/>
    <x v="1"/>
    <x v="6"/>
    <x v="2"/>
    <x v="3"/>
    <x v="13"/>
    <x v="249"/>
    <x v="125"/>
    <x v="1"/>
    <x v="1"/>
    <x v="0"/>
    <x v="2"/>
    <x v="6"/>
  </r>
  <r>
    <x v="0"/>
    <x v="1"/>
    <x v="6"/>
    <x v="2"/>
    <x v="3"/>
    <x v="14"/>
    <x v="250"/>
    <x v="126"/>
    <x v="1"/>
    <x v="1"/>
    <x v="0"/>
    <x v="2"/>
    <x v="6"/>
  </r>
  <r>
    <x v="0"/>
    <x v="1"/>
    <x v="6"/>
    <x v="2"/>
    <x v="3"/>
    <x v="15"/>
    <x v="251"/>
    <x v="127"/>
    <x v="1"/>
    <x v="1"/>
    <x v="0"/>
    <x v="2"/>
    <x v="6"/>
  </r>
  <r>
    <x v="0"/>
    <x v="2"/>
    <x v="7"/>
    <x v="2"/>
    <x v="0"/>
    <x v="0"/>
    <x v="252"/>
    <x v="128"/>
    <x v="0"/>
    <x v="0"/>
    <x v="0"/>
    <x v="0"/>
    <x v="7"/>
  </r>
  <r>
    <x v="0"/>
    <x v="2"/>
    <x v="7"/>
    <x v="2"/>
    <x v="0"/>
    <x v="1"/>
    <x v="253"/>
    <x v="129"/>
    <x v="1"/>
    <x v="1"/>
    <x v="0"/>
    <x v="2"/>
    <x v="7"/>
  </r>
  <r>
    <x v="0"/>
    <x v="2"/>
    <x v="7"/>
    <x v="2"/>
    <x v="0"/>
    <x v="2"/>
    <x v="254"/>
    <x v="129"/>
    <x v="4"/>
    <x v="1"/>
    <x v="0"/>
    <x v="2"/>
    <x v="7"/>
  </r>
  <r>
    <x v="0"/>
    <x v="2"/>
    <x v="7"/>
    <x v="2"/>
    <x v="0"/>
    <x v="3"/>
    <x v="28"/>
    <x v="10"/>
    <x v="1"/>
    <x v="1"/>
    <x v="0"/>
    <x v="2"/>
    <x v="7"/>
  </r>
  <r>
    <x v="0"/>
    <x v="2"/>
    <x v="7"/>
    <x v="2"/>
    <x v="0"/>
    <x v="4"/>
    <x v="255"/>
    <x v="10"/>
    <x v="4"/>
    <x v="1"/>
    <x v="0"/>
    <x v="2"/>
    <x v="7"/>
  </r>
  <r>
    <x v="0"/>
    <x v="2"/>
    <x v="7"/>
    <x v="2"/>
    <x v="0"/>
    <x v="5"/>
    <x v="76"/>
    <x v="26"/>
    <x v="1"/>
    <x v="1"/>
    <x v="0"/>
    <x v="2"/>
    <x v="7"/>
  </r>
  <r>
    <x v="0"/>
    <x v="2"/>
    <x v="7"/>
    <x v="2"/>
    <x v="0"/>
    <x v="6"/>
    <x v="256"/>
    <x v="26"/>
    <x v="4"/>
    <x v="1"/>
    <x v="0"/>
    <x v="2"/>
    <x v="7"/>
  </r>
  <r>
    <x v="0"/>
    <x v="2"/>
    <x v="7"/>
    <x v="2"/>
    <x v="0"/>
    <x v="7"/>
    <x v="7"/>
    <x v="3"/>
    <x v="1"/>
    <x v="1"/>
    <x v="0"/>
    <x v="2"/>
    <x v="7"/>
  </r>
  <r>
    <x v="0"/>
    <x v="2"/>
    <x v="7"/>
    <x v="2"/>
    <x v="0"/>
    <x v="8"/>
    <x v="257"/>
    <x v="3"/>
    <x v="4"/>
    <x v="1"/>
    <x v="0"/>
    <x v="2"/>
    <x v="7"/>
  </r>
  <r>
    <x v="0"/>
    <x v="2"/>
    <x v="7"/>
    <x v="2"/>
    <x v="0"/>
    <x v="9"/>
    <x v="258"/>
    <x v="130"/>
    <x v="1"/>
    <x v="1"/>
    <x v="0"/>
    <x v="2"/>
    <x v="7"/>
  </r>
  <r>
    <x v="0"/>
    <x v="2"/>
    <x v="7"/>
    <x v="2"/>
    <x v="0"/>
    <x v="10"/>
    <x v="259"/>
    <x v="130"/>
    <x v="4"/>
    <x v="1"/>
    <x v="0"/>
    <x v="2"/>
    <x v="7"/>
  </r>
  <r>
    <x v="0"/>
    <x v="2"/>
    <x v="7"/>
    <x v="2"/>
    <x v="0"/>
    <x v="11"/>
    <x v="260"/>
    <x v="131"/>
    <x v="1"/>
    <x v="1"/>
    <x v="0"/>
    <x v="2"/>
    <x v="7"/>
  </r>
  <r>
    <x v="0"/>
    <x v="2"/>
    <x v="7"/>
    <x v="2"/>
    <x v="0"/>
    <x v="12"/>
    <x v="261"/>
    <x v="131"/>
    <x v="4"/>
    <x v="1"/>
    <x v="0"/>
    <x v="2"/>
    <x v="7"/>
  </r>
  <r>
    <x v="0"/>
    <x v="2"/>
    <x v="7"/>
    <x v="2"/>
    <x v="0"/>
    <x v="13"/>
    <x v="262"/>
    <x v="132"/>
    <x v="1"/>
    <x v="1"/>
    <x v="0"/>
    <x v="1"/>
    <x v="7"/>
  </r>
  <r>
    <x v="0"/>
    <x v="2"/>
    <x v="7"/>
    <x v="2"/>
    <x v="0"/>
    <x v="14"/>
    <x v="263"/>
    <x v="132"/>
    <x v="4"/>
    <x v="1"/>
    <x v="0"/>
    <x v="1"/>
    <x v="7"/>
  </r>
  <r>
    <x v="0"/>
    <x v="2"/>
    <x v="7"/>
    <x v="2"/>
    <x v="0"/>
    <x v="15"/>
    <x v="264"/>
    <x v="133"/>
    <x v="1"/>
    <x v="1"/>
    <x v="0"/>
    <x v="1"/>
    <x v="7"/>
  </r>
  <r>
    <x v="0"/>
    <x v="2"/>
    <x v="7"/>
    <x v="2"/>
    <x v="0"/>
    <x v="16"/>
    <x v="265"/>
    <x v="133"/>
    <x v="4"/>
    <x v="1"/>
    <x v="0"/>
    <x v="1"/>
    <x v="7"/>
  </r>
  <r>
    <x v="0"/>
    <x v="2"/>
    <x v="7"/>
    <x v="2"/>
    <x v="0"/>
    <x v="17"/>
    <x v="266"/>
    <x v="134"/>
    <x v="1"/>
    <x v="1"/>
    <x v="0"/>
    <x v="1"/>
    <x v="7"/>
  </r>
  <r>
    <x v="0"/>
    <x v="2"/>
    <x v="7"/>
    <x v="2"/>
    <x v="0"/>
    <x v="18"/>
    <x v="267"/>
    <x v="134"/>
    <x v="4"/>
    <x v="1"/>
    <x v="0"/>
    <x v="1"/>
    <x v="7"/>
  </r>
  <r>
    <x v="0"/>
    <x v="2"/>
    <x v="7"/>
    <x v="2"/>
    <x v="0"/>
    <x v="19"/>
    <x v="268"/>
    <x v="135"/>
    <x v="1"/>
    <x v="1"/>
    <x v="0"/>
    <x v="1"/>
    <x v="7"/>
  </r>
  <r>
    <x v="0"/>
    <x v="2"/>
    <x v="7"/>
    <x v="2"/>
    <x v="0"/>
    <x v="20"/>
    <x v="269"/>
    <x v="135"/>
    <x v="4"/>
    <x v="1"/>
    <x v="0"/>
    <x v="1"/>
    <x v="7"/>
  </r>
  <r>
    <x v="0"/>
    <x v="2"/>
    <x v="7"/>
    <x v="2"/>
    <x v="0"/>
    <x v="21"/>
    <x v="270"/>
    <x v="136"/>
    <x v="1"/>
    <x v="1"/>
    <x v="0"/>
    <x v="1"/>
    <x v="7"/>
  </r>
  <r>
    <x v="0"/>
    <x v="2"/>
    <x v="7"/>
    <x v="2"/>
    <x v="0"/>
    <x v="22"/>
    <x v="271"/>
    <x v="136"/>
    <x v="4"/>
    <x v="1"/>
    <x v="0"/>
    <x v="1"/>
    <x v="7"/>
  </r>
  <r>
    <x v="0"/>
    <x v="2"/>
    <x v="7"/>
    <x v="2"/>
    <x v="0"/>
    <x v="23"/>
    <x v="272"/>
    <x v="137"/>
    <x v="1"/>
    <x v="1"/>
    <x v="0"/>
    <x v="1"/>
    <x v="7"/>
  </r>
  <r>
    <x v="0"/>
    <x v="2"/>
    <x v="7"/>
    <x v="2"/>
    <x v="0"/>
    <x v="24"/>
    <x v="273"/>
    <x v="137"/>
    <x v="4"/>
    <x v="1"/>
    <x v="0"/>
    <x v="1"/>
    <x v="7"/>
  </r>
  <r>
    <x v="0"/>
    <x v="2"/>
    <x v="7"/>
    <x v="2"/>
    <x v="0"/>
    <x v="25"/>
    <x v="274"/>
    <x v="138"/>
    <x v="1"/>
    <x v="1"/>
    <x v="0"/>
    <x v="1"/>
    <x v="7"/>
  </r>
  <r>
    <x v="0"/>
    <x v="2"/>
    <x v="7"/>
    <x v="2"/>
    <x v="0"/>
    <x v="26"/>
    <x v="275"/>
    <x v="138"/>
    <x v="4"/>
    <x v="1"/>
    <x v="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指标透析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4:M15" firstHeaderRow="1" firstDataRow="3" firstDataCol="1"/>
  <pivotFields count="13">
    <pivotField showAll="0">
      <items count="2">
        <item x="0"/>
        <item t="default"/>
      </items>
    </pivotField>
    <pivotField showAll="0"/>
    <pivotField axis="axisRow" showAll="0">
      <items count="9">
        <item x="5"/>
        <item x="0"/>
        <item x="1"/>
        <item x="2"/>
        <item x="6"/>
        <item x="3"/>
        <item x="4"/>
        <item x="7"/>
        <item t="default"/>
      </items>
    </pivotField>
    <pivotField showAll="0"/>
    <pivotField showAll="0"/>
    <pivotField showAll="0"/>
    <pivotField dataField="1" showAll="0">
      <items count="277">
        <item x="251"/>
        <item x="239"/>
        <item x="191"/>
        <item x="176"/>
        <item x="177"/>
        <item x="178"/>
        <item x="182"/>
        <item x="183"/>
        <item x="184"/>
        <item x="192"/>
        <item x="43"/>
        <item x="44"/>
        <item x="45"/>
        <item x="268"/>
        <item x="269"/>
        <item x="10"/>
        <item x="11"/>
        <item x="12"/>
        <item x="274"/>
        <item x="275"/>
        <item x="1"/>
        <item x="2"/>
        <item x="3"/>
        <item x="7"/>
        <item x="8"/>
        <item x="9"/>
        <item x="257"/>
        <item x="4"/>
        <item x="5"/>
        <item x="6"/>
        <item x="234"/>
        <item x="233"/>
        <item x="142"/>
        <item x="143"/>
        <item x="144"/>
        <item x="244"/>
        <item x="270"/>
        <item x="271"/>
        <item x="258"/>
        <item x="259"/>
        <item x="242"/>
        <item x="210"/>
        <item x="209"/>
        <item x="205"/>
        <item x="200"/>
        <item x="204"/>
        <item x="13"/>
        <item x="14"/>
        <item x="15"/>
        <item x="22"/>
        <item x="23"/>
        <item x="24"/>
        <item x="19"/>
        <item x="20"/>
        <item x="21"/>
        <item x="25"/>
        <item x="26"/>
        <item x="27"/>
        <item x="46"/>
        <item x="47"/>
        <item x="48"/>
        <item x="173"/>
        <item x="174"/>
        <item x="175"/>
        <item x="194"/>
        <item x="146"/>
        <item x="100"/>
        <item x="101"/>
        <item x="102"/>
        <item x="94"/>
        <item x="95"/>
        <item x="96"/>
        <item x="97"/>
        <item x="98"/>
        <item x="99"/>
        <item x="167"/>
        <item x="168"/>
        <item x="169"/>
        <item x="185"/>
        <item x="186"/>
        <item x="187"/>
        <item x="260"/>
        <item x="261"/>
        <item x="229"/>
        <item x="250"/>
        <item x="249"/>
        <item x="206"/>
        <item x="196"/>
        <item x="201"/>
        <item x="237"/>
        <item x="179"/>
        <item x="180"/>
        <item x="181"/>
        <item x="223"/>
        <item x="139"/>
        <item x="140"/>
        <item x="141"/>
        <item x="28"/>
        <item x="29"/>
        <item x="30"/>
        <item x="255"/>
        <item x="222"/>
        <item x="31"/>
        <item x="64"/>
        <item x="65"/>
        <item x="66"/>
        <item x="61"/>
        <item x="62"/>
        <item x="63"/>
        <item x="32"/>
        <item x="33"/>
        <item x="264"/>
        <item x="265"/>
        <item x="34"/>
        <item x="35"/>
        <item x="36"/>
        <item x="214"/>
        <item x="213"/>
        <item x="220"/>
        <item x="40"/>
        <item x="41"/>
        <item x="42"/>
        <item x="253"/>
        <item x="254"/>
        <item x="16"/>
        <item x="17"/>
        <item x="18"/>
        <item x="170"/>
        <item x="171"/>
        <item x="172"/>
        <item x="262"/>
        <item x="263"/>
        <item x="272"/>
        <item x="273"/>
        <item x="208"/>
        <item x="225"/>
        <item x="207"/>
        <item x="199"/>
        <item x="197"/>
        <item x="198"/>
        <item x="248"/>
        <item x="247"/>
        <item x="246"/>
        <item x="245"/>
        <item x="227"/>
        <item x="228"/>
        <item x="252"/>
        <item x="243"/>
        <item x="195"/>
        <item x="147"/>
        <item x="37"/>
        <item x="38"/>
        <item x="39"/>
        <item x="52"/>
        <item x="53"/>
        <item x="54"/>
        <item x="238"/>
        <item x="49"/>
        <item x="50"/>
        <item x="51"/>
        <item x="130"/>
        <item x="131"/>
        <item x="132"/>
        <item x="133"/>
        <item x="134"/>
        <item x="135"/>
        <item x="136"/>
        <item x="137"/>
        <item x="138"/>
        <item x="55"/>
        <item x="56"/>
        <item x="57"/>
        <item x="240"/>
        <item x="58"/>
        <item x="59"/>
        <item x="60"/>
        <item x="188"/>
        <item x="189"/>
        <item x="190"/>
        <item x="0"/>
        <item x="148"/>
        <item x="226"/>
        <item x="202"/>
        <item x="91"/>
        <item x="92"/>
        <item x="93"/>
        <item x="85"/>
        <item x="86"/>
        <item x="87"/>
        <item x="88"/>
        <item x="89"/>
        <item x="90"/>
        <item x="109"/>
        <item x="110"/>
        <item x="111"/>
        <item x="103"/>
        <item x="104"/>
        <item x="105"/>
        <item x="106"/>
        <item x="107"/>
        <item x="108"/>
        <item x="266"/>
        <item x="267"/>
        <item x="82"/>
        <item x="83"/>
        <item x="84"/>
        <item x="73"/>
        <item x="74"/>
        <item x="75"/>
        <item x="67"/>
        <item x="68"/>
        <item x="69"/>
        <item x="76"/>
        <item x="77"/>
        <item x="78"/>
        <item x="256"/>
        <item x="70"/>
        <item x="71"/>
        <item x="72"/>
        <item x="230"/>
        <item x="79"/>
        <item x="80"/>
        <item x="81"/>
        <item x="232"/>
        <item x="231"/>
        <item x="193"/>
        <item x="145"/>
        <item x="127"/>
        <item x="128"/>
        <item x="129"/>
        <item x="121"/>
        <item x="122"/>
        <item x="123"/>
        <item x="124"/>
        <item x="125"/>
        <item x="126"/>
        <item x="118"/>
        <item x="119"/>
        <item x="120"/>
        <item x="112"/>
        <item x="113"/>
        <item x="114"/>
        <item x="115"/>
        <item x="116"/>
        <item x="117"/>
        <item x="164"/>
        <item x="165"/>
        <item x="166"/>
        <item x="158"/>
        <item x="159"/>
        <item x="160"/>
        <item x="155"/>
        <item x="156"/>
        <item x="157"/>
        <item x="161"/>
        <item x="162"/>
        <item x="163"/>
        <item x="149"/>
        <item x="150"/>
        <item x="151"/>
        <item x="152"/>
        <item x="153"/>
        <item x="154"/>
        <item x="218"/>
        <item x="217"/>
        <item x="203"/>
        <item x="212"/>
        <item x="211"/>
        <item x="219"/>
        <item x="236"/>
        <item x="235"/>
        <item x="224"/>
        <item x="241"/>
        <item x="216"/>
        <item x="215"/>
        <item x="221"/>
        <item t="default"/>
      </items>
    </pivotField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列数" fld="6" subtotal="count" baseField="0" baseItem="0"/>
    <dataField name="度量列数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4" customWidth="1"/>
    <col min="3" max="3" width="43.625" customWidth="1"/>
    <col min="4" max="4" width="9.375" customWidth="1"/>
    <col min="5" max="5" width="4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11.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>
        <v>11623441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5">
      <c r="A3" t="s">
        <v>13</v>
      </c>
      <c r="B3">
        <v>11623441</v>
      </c>
      <c r="C3" t="s">
        <v>14</v>
      </c>
      <c r="D3" t="s">
        <v>15</v>
      </c>
      <c r="E3" t="s">
        <v>16</v>
      </c>
      <c r="F3">
        <v>2</v>
      </c>
      <c r="G3" t="s">
        <v>23</v>
      </c>
      <c r="H3" t="s">
        <v>23</v>
      </c>
      <c r="I3" t="s">
        <v>24</v>
      </c>
      <c r="J3" t="s">
        <v>25</v>
      </c>
      <c r="K3" t="s">
        <v>20</v>
      </c>
      <c r="L3" t="s">
        <v>26</v>
      </c>
      <c r="M3" t="s">
        <v>22</v>
      </c>
    </row>
    <row r="4" spans="1:15">
      <c r="A4" t="s">
        <v>13</v>
      </c>
      <c r="B4">
        <v>11623441</v>
      </c>
      <c r="C4" t="s">
        <v>14</v>
      </c>
      <c r="D4" t="s">
        <v>15</v>
      </c>
      <c r="E4" t="s">
        <v>16</v>
      </c>
      <c r="F4">
        <v>3</v>
      </c>
      <c r="G4" t="s">
        <v>27</v>
      </c>
      <c r="H4" t="s">
        <v>23</v>
      </c>
      <c r="I4" t="s">
        <v>28</v>
      </c>
      <c r="J4" t="s">
        <v>25</v>
      </c>
      <c r="K4" t="s">
        <v>20</v>
      </c>
      <c r="L4" t="s">
        <v>26</v>
      </c>
      <c r="M4" t="s">
        <v>22</v>
      </c>
    </row>
    <row r="5" spans="1:15">
      <c r="A5" t="s">
        <v>13</v>
      </c>
      <c r="B5">
        <v>11623441</v>
      </c>
      <c r="C5" t="s">
        <v>14</v>
      </c>
      <c r="D5" t="s">
        <v>15</v>
      </c>
      <c r="E5" t="s">
        <v>16</v>
      </c>
      <c r="F5">
        <v>4</v>
      </c>
      <c r="G5" t="s">
        <v>29</v>
      </c>
      <c r="H5" t="s">
        <v>23</v>
      </c>
      <c r="I5" t="s">
        <v>30</v>
      </c>
      <c r="J5" t="s">
        <v>25</v>
      </c>
      <c r="K5" t="s">
        <v>20</v>
      </c>
      <c r="L5" t="s">
        <v>26</v>
      </c>
      <c r="M5" t="s">
        <v>22</v>
      </c>
    </row>
    <row r="6" spans="1:15">
      <c r="A6" t="s">
        <v>13</v>
      </c>
      <c r="B6">
        <v>11623441</v>
      </c>
      <c r="C6" t="s">
        <v>14</v>
      </c>
      <c r="D6" t="s">
        <v>15</v>
      </c>
      <c r="E6" t="s">
        <v>16</v>
      </c>
      <c r="F6">
        <v>5</v>
      </c>
      <c r="G6" t="s">
        <v>31</v>
      </c>
      <c r="H6" t="s">
        <v>31</v>
      </c>
      <c r="I6" t="s">
        <v>24</v>
      </c>
      <c r="J6" t="s">
        <v>25</v>
      </c>
      <c r="K6" t="s">
        <v>20</v>
      </c>
      <c r="L6" t="s">
        <v>32</v>
      </c>
      <c r="M6" t="s">
        <v>22</v>
      </c>
    </row>
    <row r="7" spans="1:15">
      <c r="A7" t="s">
        <v>13</v>
      </c>
      <c r="B7">
        <v>11623441</v>
      </c>
      <c r="C7" t="s">
        <v>14</v>
      </c>
      <c r="D7" t="s">
        <v>15</v>
      </c>
      <c r="E7" t="s">
        <v>16</v>
      </c>
      <c r="F7">
        <v>6</v>
      </c>
      <c r="G7" t="s">
        <v>33</v>
      </c>
      <c r="H7" t="s">
        <v>31</v>
      </c>
      <c r="I7" t="s">
        <v>28</v>
      </c>
      <c r="J7" t="s">
        <v>25</v>
      </c>
      <c r="K7" t="s">
        <v>20</v>
      </c>
      <c r="L7" t="s">
        <v>32</v>
      </c>
      <c r="M7" t="s">
        <v>22</v>
      </c>
    </row>
    <row r="8" spans="1:15">
      <c r="A8" t="s">
        <v>13</v>
      </c>
      <c r="B8">
        <v>11623441</v>
      </c>
      <c r="C8" t="s">
        <v>14</v>
      </c>
      <c r="D8" t="s">
        <v>15</v>
      </c>
      <c r="E8" t="s">
        <v>16</v>
      </c>
      <c r="F8">
        <v>7</v>
      </c>
      <c r="G8" t="s">
        <v>34</v>
      </c>
      <c r="H8" t="s">
        <v>31</v>
      </c>
      <c r="I8" t="s">
        <v>30</v>
      </c>
      <c r="J8" t="s">
        <v>25</v>
      </c>
      <c r="K8" t="s">
        <v>20</v>
      </c>
      <c r="L8" t="s">
        <v>32</v>
      </c>
      <c r="M8" t="s">
        <v>22</v>
      </c>
    </row>
    <row r="9" spans="1:15">
      <c r="A9" t="s">
        <v>13</v>
      </c>
      <c r="B9">
        <v>11623441</v>
      </c>
      <c r="C9" t="s">
        <v>14</v>
      </c>
      <c r="D9" t="s">
        <v>15</v>
      </c>
      <c r="E9" t="s">
        <v>16</v>
      </c>
      <c r="F9">
        <v>8</v>
      </c>
      <c r="G9" t="s">
        <v>35</v>
      </c>
      <c r="H9" t="s">
        <v>35</v>
      </c>
      <c r="I9" t="s">
        <v>24</v>
      </c>
      <c r="J9" t="s">
        <v>25</v>
      </c>
      <c r="K9" t="s">
        <v>20</v>
      </c>
      <c r="L9" t="s">
        <v>32</v>
      </c>
      <c r="M9" t="s">
        <v>22</v>
      </c>
    </row>
    <row r="10" spans="1:15">
      <c r="A10" t="s">
        <v>13</v>
      </c>
      <c r="B10">
        <v>11623441</v>
      </c>
      <c r="C10" t="s">
        <v>14</v>
      </c>
      <c r="D10" t="s">
        <v>15</v>
      </c>
      <c r="E10" t="s">
        <v>16</v>
      </c>
      <c r="F10">
        <v>9</v>
      </c>
      <c r="G10" t="s">
        <v>36</v>
      </c>
      <c r="H10" t="s">
        <v>35</v>
      </c>
      <c r="I10" t="s">
        <v>28</v>
      </c>
      <c r="J10" t="s">
        <v>25</v>
      </c>
      <c r="K10" t="s">
        <v>20</v>
      </c>
      <c r="L10" t="s">
        <v>32</v>
      </c>
      <c r="M10" t="s">
        <v>22</v>
      </c>
    </row>
    <row r="11" spans="1:15">
      <c r="A11" t="s">
        <v>13</v>
      </c>
      <c r="B11">
        <v>11623441</v>
      </c>
      <c r="C11" t="s">
        <v>14</v>
      </c>
      <c r="D11" t="s">
        <v>15</v>
      </c>
      <c r="E11" t="s">
        <v>16</v>
      </c>
      <c r="F11">
        <v>10</v>
      </c>
      <c r="G11" t="s">
        <v>37</v>
      </c>
      <c r="H11" t="s">
        <v>35</v>
      </c>
      <c r="I11" t="s">
        <v>30</v>
      </c>
      <c r="J11" t="s">
        <v>25</v>
      </c>
      <c r="K11" t="s">
        <v>20</v>
      </c>
      <c r="L11" t="s">
        <v>32</v>
      </c>
      <c r="M11" t="s">
        <v>22</v>
      </c>
    </row>
    <row r="12" spans="1:15">
      <c r="A12" t="s">
        <v>13</v>
      </c>
      <c r="B12">
        <v>11623441</v>
      </c>
      <c r="C12" t="s">
        <v>14</v>
      </c>
      <c r="D12" t="s">
        <v>15</v>
      </c>
      <c r="E12" t="s">
        <v>16</v>
      </c>
      <c r="F12">
        <v>11</v>
      </c>
      <c r="G12" t="s">
        <v>38</v>
      </c>
      <c r="H12" t="s">
        <v>38</v>
      </c>
      <c r="I12" t="s">
        <v>24</v>
      </c>
      <c r="J12" t="s">
        <v>25</v>
      </c>
      <c r="K12" t="s">
        <v>20</v>
      </c>
      <c r="L12" t="s">
        <v>32</v>
      </c>
      <c r="M12" t="s">
        <v>22</v>
      </c>
    </row>
    <row r="13" spans="1:15">
      <c r="A13" t="s">
        <v>13</v>
      </c>
      <c r="B13">
        <v>11623441</v>
      </c>
      <c r="C13" t="s">
        <v>14</v>
      </c>
      <c r="D13" t="s">
        <v>15</v>
      </c>
      <c r="E13" t="s">
        <v>16</v>
      </c>
      <c r="F13">
        <v>12</v>
      </c>
      <c r="G13" t="s">
        <v>39</v>
      </c>
      <c r="H13" t="s">
        <v>38</v>
      </c>
      <c r="I13" t="s">
        <v>28</v>
      </c>
      <c r="J13" t="s">
        <v>25</v>
      </c>
      <c r="K13" t="s">
        <v>20</v>
      </c>
      <c r="L13" t="s">
        <v>32</v>
      </c>
      <c r="M13" t="s">
        <v>22</v>
      </c>
    </row>
    <row r="14" spans="1:15">
      <c r="A14" t="s">
        <v>13</v>
      </c>
      <c r="B14">
        <v>11623441</v>
      </c>
      <c r="C14" t="s">
        <v>14</v>
      </c>
      <c r="D14" t="s">
        <v>15</v>
      </c>
      <c r="E14" t="s">
        <v>16</v>
      </c>
      <c r="F14">
        <v>13</v>
      </c>
      <c r="G14" t="s">
        <v>40</v>
      </c>
      <c r="H14" t="s">
        <v>38</v>
      </c>
      <c r="I14" t="s">
        <v>30</v>
      </c>
      <c r="J14" t="s">
        <v>25</v>
      </c>
      <c r="K14" t="s">
        <v>20</v>
      </c>
      <c r="L14" t="s">
        <v>32</v>
      </c>
      <c r="M14" t="s">
        <v>22</v>
      </c>
    </row>
    <row r="15" spans="1:15">
      <c r="A15" t="s">
        <v>13</v>
      </c>
      <c r="B15">
        <v>11623441</v>
      </c>
      <c r="C15" t="s">
        <v>14</v>
      </c>
      <c r="D15" t="s">
        <v>15</v>
      </c>
      <c r="E15" t="s">
        <v>16</v>
      </c>
      <c r="F15">
        <v>14</v>
      </c>
      <c r="G15" t="s">
        <v>41</v>
      </c>
      <c r="H15" t="s">
        <v>41</v>
      </c>
      <c r="I15" t="s">
        <v>24</v>
      </c>
      <c r="J15" t="s">
        <v>25</v>
      </c>
      <c r="K15" t="s">
        <v>20</v>
      </c>
      <c r="L15" t="s">
        <v>26</v>
      </c>
      <c r="M15" t="s">
        <v>22</v>
      </c>
    </row>
    <row r="16" spans="1:15">
      <c r="A16" t="s">
        <v>13</v>
      </c>
      <c r="B16">
        <v>11623441</v>
      </c>
      <c r="C16" t="s">
        <v>14</v>
      </c>
      <c r="D16" t="s">
        <v>15</v>
      </c>
      <c r="E16" t="s">
        <v>16</v>
      </c>
      <c r="F16">
        <v>15</v>
      </c>
      <c r="G16" t="s">
        <v>42</v>
      </c>
      <c r="H16" t="s">
        <v>41</v>
      </c>
      <c r="I16" t="s">
        <v>28</v>
      </c>
      <c r="J16" t="s">
        <v>25</v>
      </c>
      <c r="K16" t="s">
        <v>20</v>
      </c>
      <c r="L16" t="s">
        <v>26</v>
      </c>
      <c r="M16" t="s">
        <v>22</v>
      </c>
    </row>
    <row r="17" spans="1:13">
      <c r="A17" t="s">
        <v>13</v>
      </c>
      <c r="B17">
        <v>11623441</v>
      </c>
      <c r="C17" t="s">
        <v>14</v>
      </c>
      <c r="D17" t="s">
        <v>15</v>
      </c>
      <c r="E17" t="s">
        <v>16</v>
      </c>
      <c r="F17">
        <v>16</v>
      </c>
      <c r="G17" t="s">
        <v>43</v>
      </c>
      <c r="H17" t="s">
        <v>41</v>
      </c>
      <c r="I17" t="s">
        <v>30</v>
      </c>
      <c r="J17" t="s">
        <v>25</v>
      </c>
      <c r="K17" t="s">
        <v>20</v>
      </c>
      <c r="L17" t="s">
        <v>26</v>
      </c>
      <c r="M17" t="s">
        <v>22</v>
      </c>
    </row>
    <row r="18" spans="1:13">
      <c r="A18" t="s">
        <v>13</v>
      </c>
      <c r="B18">
        <v>11623441</v>
      </c>
      <c r="C18" t="s">
        <v>14</v>
      </c>
      <c r="D18" t="s">
        <v>15</v>
      </c>
      <c r="E18" t="s">
        <v>16</v>
      </c>
      <c r="F18">
        <v>17</v>
      </c>
      <c r="G18" t="s">
        <v>44</v>
      </c>
      <c r="H18" t="s">
        <v>44</v>
      </c>
      <c r="I18" t="s">
        <v>24</v>
      </c>
      <c r="J18" t="s">
        <v>25</v>
      </c>
      <c r="K18" t="s">
        <v>20</v>
      </c>
      <c r="L18" t="s">
        <v>26</v>
      </c>
      <c r="M18" t="s">
        <v>22</v>
      </c>
    </row>
    <row r="19" spans="1:13">
      <c r="A19" t="s">
        <v>13</v>
      </c>
      <c r="B19">
        <v>11623441</v>
      </c>
      <c r="C19" t="s">
        <v>14</v>
      </c>
      <c r="D19" t="s">
        <v>15</v>
      </c>
      <c r="E19" t="s">
        <v>16</v>
      </c>
      <c r="F19">
        <v>18</v>
      </c>
      <c r="G19" t="s">
        <v>45</v>
      </c>
      <c r="H19" t="s">
        <v>44</v>
      </c>
      <c r="I19" t="s">
        <v>28</v>
      </c>
      <c r="J19" t="s">
        <v>25</v>
      </c>
      <c r="K19" t="s">
        <v>20</v>
      </c>
      <c r="L19" t="s">
        <v>26</v>
      </c>
      <c r="M19" t="s">
        <v>22</v>
      </c>
    </row>
    <row r="20" spans="1:13">
      <c r="A20" t="s">
        <v>13</v>
      </c>
      <c r="B20">
        <v>11623441</v>
      </c>
      <c r="C20" t="s">
        <v>14</v>
      </c>
      <c r="D20" t="s">
        <v>15</v>
      </c>
      <c r="E20" t="s">
        <v>16</v>
      </c>
      <c r="F20">
        <v>19</v>
      </c>
      <c r="G20" t="s">
        <v>46</v>
      </c>
      <c r="H20" t="s">
        <v>44</v>
      </c>
      <c r="I20" t="s">
        <v>30</v>
      </c>
      <c r="J20" t="s">
        <v>25</v>
      </c>
      <c r="K20" t="s">
        <v>20</v>
      </c>
      <c r="L20" t="s">
        <v>26</v>
      </c>
      <c r="M20" t="s">
        <v>22</v>
      </c>
    </row>
    <row r="21" spans="1:13">
      <c r="A21" t="s">
        <v>13</v>
      </c>
      <c r="B21">
        <v>11623441</v>
      </c>
      <c r="C21" t="s">
        <v>14</v>
      </c>
      <c r="D21" t="s">
        <v>15</v>
      </c>
      <c r="E21" t="s">
        <v>16</v>
      </c>
      <c r="F21">
        <v>20</v>
      </c>
      <c r="G21" t="s">
        <v>47</v>
      </c>
      <c r="H21" t="s">
        <v>47</v>
      </c>
      <c r="I21" t="s">
        <v>24</v>
      </c>
      <c r="J21" t="s">
        <v>25</v>
      </c>
      <c r="K21" t="s">
        <v>20</v>
      </c>
      <c r="L21" t="s">
        <v>32</v>
      </c>
      <c r="M21" t="s">
        <v>22</v>
      </c>
    </row>
    <row r="22" spans="1:13">
      <c r="A22" t="s">
        <v>13</v>
      </c>
      <c r="B22">
        <v>11623441</v>
      </c>
      <c r="C22" t="s">
        <v>14</v>
      </c>
      <c r="D22" t="s">
        <v>15</v>
      </c>
      <c r="E22" t="s">
        <v>16</v>
      </c>
      <c r="F22">
        <v>21</v>
      </c>
      <c r="G22" t="s">
        <v>48</v>
      </c>
      <c r="H22" t="s">
        <v>47</v>
      </c>
      <c r="I22" t="s">
        <v>28</v>
      </c>
      <c r="J22" t="s">
        <v>25</v>
      </c>
      <c r="K22" t="s">
        <v>20</v>
      </c>
      <c r="L22" t="s">
        <v>32</v>
      </c>
      <c r="M22" t="s">
        <v>22</v>
      </c>
    </row>
    <row r="23" spans="1:13">
      <c r="A23" t="s">
        <v>13</v>
      </c>
      <c r="B23">
        <v>11623441</v>
      </c>
      <c r="C23" t="s">
        <v>14</v>
      </c>
      <c r="D23" t="s">
        <v>15</v>
      </c>
      <c r="E23" t="s">
        <v>16</v>
      </c>
      <c r="F23">
        <v>22</v>
      </c>
      <c r="G23" t="s">
        <v>49</v>
      </c>
      <c r="H23" t="s">
        <v>47</v>
      </c>
      <c r="I23" t="s">
        <v>30</v>
      </c>
      <c r="J23" t="s">
        <v>25</v>
      </c>
      <c r="K23" t="s">
        <v>20</v>
      </c>
      <c r="L23" t="s">
        <v>32</v>
      </c>
      <c r="M23" t="s">
        <v>22</v>
      </c>
    </row>
    <row r="24" spans="1:13">
      <c r="A24" t="s">
        <v>13</v>
      </c>
      <c r="B24">
        <v>11623441</v>
      </c>
      <c r="C24" t="s">
        <v>14</v>
      </c>
      <c r="D24" t="s">
        <v>15</v>
      </c>
      <c r="E24" t="s">
        <v>16</v>
      </c>
      <c r="F24">
        <v>23</v>
      </c>
      <c r="G24" t="s">
        <v>50</v>
      </c>
      <c r="H24" t="s">
        <v>50</v>
      </c>
      <c r="I24" t="s">
        <v>24</v>
      </c>
      <c r="J24" t="s">
        <v>25</v>
      </c>
      <c r="K24" t="s">
        <v>20</v>
      </c>
      <c r="L24" t="s">
        <v>32</v>
      </c>
      <c r="M24" t="s">
        <v>22</v>
      </c>
    </row>
    <row r="25" spans="1:13">
      <c r="A25" t="s">
        <v>13</v>
      </c>
      <c r="B25">
        <v>11623441</v>
      </c>
      <c r="C25" t="s">
        <v>14</v>
      </c>
      <c r="D25" t="s">
        <v>15</v>
      </c>
      <c r="E25" t="s">
        <v>16</v>
      </c>
      <c r="F25">
        <v>24</v>
      </c>
      <c r="G25" t="s">
        <v>51</v>
      </c>
      <c r="H25" t="s">
        <v>50</v>
      </c>
      <c r="I25" t="s">
        <v>28</v>
      </c>
      <c r="J25" t="s">
        <v>25</v>
      </c>
      <c r="K25" t="s">
        <v>20</v>
      </c>
      <c r="L25" t="s">
        <v>32</v>
      </c>
      <c r="M25" t="s">
        <v>22</v>
      </c>
    </row>
    <row r="26" spans="1:13">
      <c r="A26" t="s">
        <v>13</v>
      </c>
      <c r="B26">
        <v>11623441</v>
      </c>
      <c r="C26" t="s">
        <v>14</v>
      </c>
      <c r="D26" t="s">
        <v>15</v>
      </c>
      <c r="E26" t="s">
        <v>16</v>
      </c>
      <c r="F26">
        <v>25</v>
      </c>
      <c r="G26" t="s">
        <v>52</v>
      </c>
      <c r="H26" t="s">
        <v>50</v>
      </c>
      <c r="I26" t="s">
        <v>30</v>
      </c>
      <c r="J26" t="s">
        <v>25</v>
      </c>
      <c r="K26" t="s">
        <v>20</v>
      </c>
      <c r="L26" t="s">
        <v>32</v>
      </c>
      <c r="M26" t="s">
        <v>22</v>
      </c>
    </row>
    <row r="27" spans="1:13">
      <c r="A27" t="s">
        <v>13</v>
      </c>
      <c r="B27">
        <v>11623441</v>
      </c>
      <c r="C27" t="s">
        <v>14</v>
      </c>
      <c r="D27" t="s">
        <v>15</v>
      </c>
      <c r="E27" t="s">
        <v>16</v>
      </c>
      <c r="F27">
        <v>26</v>
      </c>
      <c r="G27" t="s">
        <v>53</v>
      </c>
      <c r="H27" t="s">
        <v>53</v>
      </c>
      <c r="I27" t="s">
        <v>24</v>
      </c>
      <c r="J27" t="s">
        <v>25</v>
      </c>
      <c r="K27" t="s">
        <v>20</v>
      </c>
      <c r="L27" t="s">
        <v>26</v>
      </c>
      <c r="M27" t="s">
        <v>22</v>
      </c>
    </row>
    <row r="28" spans="1:13">
      <c r="A28" t="s">
        <v>13</v>
      </c>
      <c r="B28">
        <v>11623441</v>
      </c>
      <c r="C28" t="s">
        <v>14</v>
      </c>
      <c r="D28" t="s">
        <v>15</v>
      </c>
      <c r="E28" t="s">
        <v>16</v>
      </c>
      <c r="F28">
        <v>27</v>
      </c>
      <c r="G28" t="s">
        <v>54</v>
      </c>
      <c r="H28" t="s">
        <v>53</v>
      </c>
      <c r="I28" t="s">
        <v>28</v>
      </c>
      <c r="J28" t="s">
        <v>25</v>
      </c>
      <c r="K28" t="s">
        <v>20</v>
      </c>
      <c r="L28" t="s">
        <v>26</v>
      </c>
      <c r="M28" t="s">
        <v>22</v>
      </c>
    </row>
    <row r="29" spans="1:13">
      <c r="A29" t="s">
        <v>13</v>
      </c>
      <c r="B29">
        <v>11623441</v>
      </c>
      <c r="C29" t="s">
        <v>14</v>
      </c>
      <c r="D29" t="s">
        <v>15</v>
      </c>
      <c r="E29" t="s">
        <v>16</v>
      </c>
      <c r="F29">
        <v>28</v>
      </c>
      <c r="G29" t="s">
        <v>55</v>
      </c>
      <c r="H29" t="s">
        <v>53</v>
      </c>
      <c r="I29" t="s">
        <v>30</v>
      </c>
      <c r="J29" t="s">
        <v>25</v>
      </c>
      <c r="K29" t="s">
        <v>20</v>
      </c>
      <c r="L29" t="s">
        <v>26</v>
      </c>
      <c r="M29" t="s">
        <v>22</v>
      </c>
    </row>
    <row r="30" spans="1:13">
      <c r="A30" t="s">
        <v>13</v>
      </c>
      <c r="B30">
        <v>11623441</v>
      </c>
      <c r="C30" t="s">
        <v>14</v>
      </c>
      <c r="D30" t="s">
        <v>15</v>
      </c>
      <c r="E30" t="s">
        <v>16</v>
      </c>
      <c r="F30">
        <v>29</v>
      </c>
      <c r="G30" t="s">
        <v>56</v>
      </c>
      <c r="H30" t="s">
        <v>56</v>
      </c>
      <c r="I30" t="s">
        <v>24</v>
      </c>
      <c r="J30" t="s">
        <v>25</v>
      </c>
      <c r="K30" t="s">
        <v>20</v>
      </c>
      <c r="L30" t="s">
        <v>32</v>
      </c>
      <c r="M30" t="s">
        <v>22</v>
      </c>
    </row>
    <row r="31" spans="1:13">
      <c r="A31" t="s">
        <v>13</v>
      </c>
      <c r="B31">
        <v>11623441</v>
      </c>
      <c r="C31" t="s">
        <v>14</v>
      </c>
      <c r="D31" t="s">
        <v>15</v>
      </c>
      <c r="E31" t="s">
        <v>16</v>
      </c>
      <c r="F31">
        <v>30</v>
      </c>
      <c r="G31" t="s">
        <v>57</v>
      </c>
      <c r="H31" t="s">
        <v>56</v>
      </c>
      <c r="I31" t="s">
        <v>28</v>
      </c>
      <c r="J31" t="s">
        <v>25</v>
      </c>
      <c r="K31" t="s">
        <v>20</v>
      </c>
      <c r="L31" t="s">
        <v>32</v>
      </c>
      <c r="M31" t="s">
        <v>22</v>
      </c>
    </row>
    <row r="32" spans="1:13">
      <c r="A32" t="s">
        <v>13</v>
      </c>
      <c r="B32">
        <v>11623441</v>
      </c>
      <c r="C32" t="s">
        <v>14</v>
      </c>
      <c r="D32" t="s">
        <v>15</v>
      </c>
      <c r="E32" t="s">
        <v>16</v>
      </c>
      <c r="F32">
        <v>31</v>
      </c>
      <c r="G32" t="s">
        <v>58</v>
      </c>
      <c r="H32" t="s">
        <v>56</v>
      </c>
      <c r="I32" t="s">
        <v>30</v>
      </c>
      <c r="J32" t="s">
        <v>25</v>
      </c>
      <c r="K32" t="s">
        <v>20</v>
      </c>
      <c r="L32" t="s">
        <v>32</v>
      </c>
      <c r="M32" t="s">
        <v>22</v>
      </c>
    </row>
    <row r="33" spans="1:13">
      <c r="A33" t="s">
        <v>13</v>
      </c>
      <c r="B33">
        <v>11623441</v>
      </c>
      <c r="C33" t="s">
        <v>14</v>
      </c>
      <c r="D33" t="s">
        <v>15</v>
      </c>
      <c r="E33" t="s">
        <v>16</v>
      </c>
      <c r="F33">
        <v>32</v>
      </c>
      <c r="G33" t="s">
        <v>59</v>
      </c>
      <c r="H33" t="s">
        <v>59</v>
      </c>
      <c r="I33" t="s">
        <v>24</v>
      </c>
      <c r="J33" t="s">
        <v>25</v>
      </c>
      <c r="K33" t="s">
        <v>20</v>
      </c>
      <c r="L33" t="s">
        <v>32</v>
      </c>
      <c r="M33" t="s">
        <v>22</v>
      </c>
    </row>
    <row r="34" spans="1:13">
      <c r="A34" t="s">
        <v>13</v>
      </c>
      <c r="B34">
        <v>11623441</v>
      </c>
      <c r="C34" t="s">
        <v>14</v>
      </c>
      <c r="D34" t="s">
        <v>15</v>
      </c>
      <c r="E34" t="s">
        <v>16</v>
      </c>
      <c r="F34">
        <v>33</v>
      </c>
      <c r="G34" t="s">
        <v>60</v>
      </c>
      <c r="H34" t="s">
        <v>59</v>
      </c>
      <c r="I34" t="s">
        <v>28</v>
      </c>
      <c r="J34" t="s">
        <v>25</v>
      </c>
      <c r="K34" t="s">
        <v>20</v>
      </c>
      <c r="L34" t="s">
        <v>32</v>
      </c>
      <c r="M34" t="s">
        <v>22</v>
      </c>
    </row>
    <row r="35" spans="1:13">
      <c r="A35" t="s">
        <v>13</v>
      </c>
      <c r="B35">
        <v>11623441</v>
      </c>
      <c r="C35" t="s">
        <v>14</v>
      </c>
      <c r="D35" t="s">
        <v>15</v>
      </c>
      <c r="E35" t="s">
        <v>16</v>
      </c>
      <c r="F35">
        <v>34</v>
      </c>
      <c r="G35" t="s">
        <v>61</v>
      </c>
      <c r="H35" t="s">
        <v>59</v>
      </c>
      <c r="I35" t="s">
        <v>30</v>
      </c>
      <c r="J35" t="s">
        <v>25</v>
      </c>
      <c r="K35" t="s">
        <v>20</v>
      </c>
      <c r="L35" t="s">
        <v>32</v>
      </c>
      <c r="M35" t="s">
        <v>22</v>
      </c>
    </row>
    <row r="36" spans="1:13">
      <c r="A36" t="s">
        <v>13</v>
      </c>
      <c r="B36">
        <v>11623441</v>
      </c>
      <c r="C36" t="s">
        <v>14</v>
      </c>
      <c r="D36" t="s">
        <v>15</v>
      </c>
      <c r="E36" t="s">
        <v>16</v>
      </c>
      <c r="F36">
        <v>35</v>
      </c>
      <c r="G36" t="s">
        <v>62</v>
      </c>
      <c r="H36" t="s">
        <v>62</v>
      </c>
      <c r="I36" t="s">
        <v>24</v>
      </c>
      <c r="J36" t="s">
        <v>25</v>
      </c>
      <c r="K36" t="s">
        <v>20</v>
      </c>
      <c r="L36" t="s">
        <v>26</v>
      </c>
      <c r="M36" t="s">
        <v>22</v>
      </c>
    </row>
    <row r="37" spans="1:13">
      <c r="A37" t="s">
        <v>13</v>
      </c>
      <c r="B37">
        <v>11623441</v>
      </c>
      <c r="C37" t="s">
        <v>14</v>
      </c>
      <c r="D37" t="s">
        <v>15</v>
      </c>
      <c r="E37" t="s">
        <v>16</v>
      </c>
      <c r="F37">
        <v>36</v>
      </c>
      <c r="G37" t="s">
        <v>63</v>
      </c>
      <c r="H37" t="s">
        <v>62</v>
      </c>
      <c r="I37" t="s">
        <v>28</v>
      </c>
      <c r="J37" t="s">
        <v>25</v>
      </c>
      <c r="K37" t="s">
        <v>20</v>
      </c>
      <c r="L37" t="s">
        <v>26</v>
      </c>
      <c r="M37" t="s">
        <v>22</v>
      </c>
    </row>
    <row r="38" spans="1:13">
      <c r="A38" t="s">
        <v>13</v>
      </c>
      <c r="B38">
        <v>11623441</v>
      </c>
      <c r="C38" t="s">
        <v>14</v>
      </c>
      <c r="D38" t="s">
        <v>15</v>
      </c>
      <c r="E38" t="s">
        <v>16</v>
      </c>
      <c r="F38">
        <v>37</v>
      </c>
      <c r="G38" t="s">
        <v>64</v>
      </c>
      <c r="H38" t="s">
        <v>62</v>
      </c>
      <c r="I38" t="s">
        <v>30</v>
      </c>
      <c r="J38" t="s">
        <v>25</v>
      </c>
      <c r="K38" t="s">
        <v>20</v>
      </c>
      <c r="L38" t="s">
        <v>26</v>
      </c>
      <c r="M38" t="s">
        <v>22</v>
      </c>
    </row>
    <row r="39" spans="1:13">
      <c r="A39" t="s">
        <v>13</v>
      </c>
      <c r="B39">
        <v>11623441</v>
      </c>
      <c r="C39" t="s">
        <v>14</v>
      </c>
      <c r="D39" t="s">
        <v>15</v>
      </c>
      <c r="E39" t="s">
        <v>16</v>
      </c>
      <c r="F39">
        <v>38</v>
      </c>
      <c r="G39" t="s">
        <v>65</v>
      </c>
      <c r="H39" t="s">
        <v>65</v>
      </c>
      <c r="I39" t="s">
        <v>24</v>
      </c>
      <c r="J39" t="s">
        <v>25</v>
      </c>
      <c r="K39" t="s">
        <v>20</v>
      </c>
      <c r="L39" t="s">
        <v>26</v>
      </c>
      <c r="M39" t="s">
        <v>22</v>
      </c>
    </row>
    <row r="40" spans="1:13">
      <c r="A40" t="s">
        <v>13</v>
      </c>
      <c r="B40">
        <v>11623441</v>
      </c>
      <c r="C40" t="s">
        <v>14</v>
      </c>
      <c r="D40" t="s">
        <v>15</v>
      </c>
      <c r="E40" t="s">
        <v>16</v>
      </c>
      <c r="F40">
        <v>39</v>
      </c>
      <c r="G40" t="s">
        <v>66</v>
      </c>
      <c r="H40" t="s">
        <v>65</v>
      </c>
      <c r="I40" t="s">
        <v>28</v>
      </c>
      <c r="J40" t="s">
        <v>25</v>
      </c>
      <c r="K40" t="s">
        <v>20</v>
      </c>
      <c r="L40" t="s">
        <v>26</v>
      </c>
      <c r="M40" t="s">
        <v>22</v>
      </c>
    </row>
    <row r="41" spans="1:13">
      <c r="A41" t="s">
        <v>13</v>
      </c>
      <c r="B41">
        <v>11623441</v>
      </c>
      <c r="C41" t="s">
        <v>14</v>
      </c>
      <c r="D41" t="s">
        <v>15</v>
      </c>
      <c r="E41" t="s">
        <v>16</v>
      </c>
      <c r="F41">
        <v>40</v>
      </c>
      <c r="G41" t="s">
        <v>67</v>
      </c>
      <c r="H41" t="s">
        <v>65</v>
      </c>
      <c r="I41" t="s">
        <v>30</v>
      </c>
      <c r="J41" t="s">
        <v>25</v>
      </c>
      <c r="K41" t="s">
        <v>20</v>
      </c>
      <c r="L41" t="s">
        <v>26</v>
      </c>
      <c r="M41" t="s">
        <v>22</v>
      </c>
    </row>
    <row r="42" spans="1:13">
      <c r="A42" t="s">
        <v>13</v>
      </c>
      <c r="B42">
        <v>11623441</v>
      </c>
      <c r="C42" t="s">
        <v>14</v>
      </c>
      <c r="D42" t="s">
        <v>15</v>
      </c>
      <c r="E42" t="s">
        <v>16</v>
      </c>
      <c r="F42">
        <v>41</v>
      </c>
      <c r="G42" t="s">
        <v>68</v>
      </c>
      <c r="H42" t="s">
        <v>68</v>
      </c>
      <c r="I42" t="s">
        <v>24</v>
      </c>
      <c r="J42" t="s">
        <v>25</v>
      </c>
      <c r="K42" t="s">
        <v>20</v>
      </c>
      <c r="L42" t="s">
        <v>26</v>
      </c>
      <c r="M42" t="s">
        <v>22</v>
      </c>
    </row>
    <row r="43" spans="1:13">
      <c r="A43" t="s">
        <v>13</v>
      </c>
      <c r="B43">
        <v>11623441</v>
      </c>
      <c r="C43" t="s">
        <v>14</v>
      </c>
      <c r="D43" t="s">
        <v>15</v>
      </c>
      <c r="E43" t="s">
        <v>16</v>
      </c>
      <c r="F43">
        <v>42</v>
      </c>
      <c r="G43" t="s">
        <v>69</v>
      </c>
      <c r="H43" t="s">
        <v>68</v>
      </c>
      <c r="I43" t="s">
        <v>28</v>
      </c>
      <c r="J43" t="s">
        <v>25</v>
      </c>
      <c r="K43" t="s">
        <v>20</v>
      </c>
      <c r="L43" t="s">
        <v>26</v>
      </c>
      <c r="M43" t="s">
        <v>22</v>
      </c>
    </row>
    <row r="44" spans="1:13">
      <c r="A44" t="s">
        <v>13</v>
      </c>
      <c r="B44">
        <v>11623441</v>
      </c>
      <c r="C44" t="s">
        <v>14</v>
      </c>
      <c r="D44" t="s">
        <v>15</v>
      </c>
      <c r="E44" t="s">
        <v>16</v>
      </c>
      <c r="F44">
        <v>43</v>
      </c>
      <c r="G44" t="s">
        <v>70</v>
      </c>
      <c r="H44" t="s">
        <v>68</v>
      </c>
      <c r="I44" t="s">
        <v>30</v>
      </c>
      <c r="J44" t="s">
        <v>25</v>
      </c>
      <c r="K44" t="s">
        <v>20</v>
      </c>
      <c r="L44" t="s">
        <v>26</v>
      </c>
      <c r="M44" t="s">
        <v>22</v>
      </c>
    </row>
    <row r="45" spans="1:13">
      <c r="A45" t="s">
        <v>13</v>
      </c>
      <c r="B45">
        <v>11623441</v>
      </c>
      <c r="C45" t="s">
        <v>14</v>
      </c>
      <c r="D45" t="s">
        <v>15</v>
      </c>
      <c r="E45" t="s">
        <v>16</v>
      </c>
      <c r="F45">
        <v>44</v>
      </c>
      <c r="G45" t="s">
        <v>71</v>
      </c>
      <c r="H45" t="s">
        <v>71</v>
      </c>
      <c r="I45" t="s">
        <v>24</v>
      </c>
      <c r="J45" t="s">
        <v>25</v>
      </c>
      <c r="K45" t="s">
        <v>20</v>
      </c>
      <c r="L45" t="s">
        <v>26</v>
      </c>
      <c r="M45" t="s">
        <v>22</v>
      </c>
    </row>
    <row r="46" spans="1:13">
      <c r="A46" t="s">
        <v>13</v>
      </c>
      <c r="B46">
        <v>11623441</v>
      </c>
      <c r="C46" t="s">
        <v>14</v>
      </c>
      <c r="D46" t="s">
        <v>15</v>
      </c>
      <c r="E46" t="s">
        <v>16</v>
      </c>
      <c r="F46">
        <v>45</v>
      </c>
      <c r="G46" t="s">
        <v>72</v>
      </c>
      <c r="H46" t="s">
        <v>71</v>
      </c>
      <c r="I46" t="s">
        <v>28</v>
      </c>
      <c r="J46" t="s">
        <v>25</v>
      </c>
      <c r="K46" t="s">
        <v>20</v>
      </c>
      <c r="L46" t="s">
        <v>26</v>
      </c>
      <c r="M46" t="s">
        <v>22</v>
      </c>
    </row>
    <row r="47" spans="1:13">
      <c r="A47" t="s">
        <v>13</v>
      </c>
      <c r="B47">
        <v>11623441</v>
      </c>
      <c r="C47" t="s">
        <v>14</v>
      </c>
      <c r="D47" t="s">
        <v>15</v>
      </c>
      <c r="E47" t="s">
        <v>16</v>
      </c>
      <c r="F47">
        <v>46</v>
      </c>
      <c r="G47" t="s">
        <v>73</v>
      </c>
      <c r="H47" t="s">
        <v>71</v>
      </c>
      <c r="I47" t="s">
        <v>30</v>
      </c>
      <c r="J47" t="s">
        <v>25</v>
      </c>
      <c r="K47" t="s">
        <v>20</v>
      </c>
      <c r="L47" t="s">
        <v>26</v>
      </c>
      <c r="M47" t="s">
        <v>22</v>
      </c>
    </row>
    <row r="48" spans="1:13">
      <c r="A48" t="s">
        <v>13</v>
      </c>
      <c r="B48">
        <v>11623441</v>
      </c>
      <c r="C48" t="s">
        <v>14</v>
      </c>
      <c r="D48" t="s">
        <v>15</v>
      </c>
      <c r="E48" t="s">
        <v>16</v>
      </c>
      <c r="F48">
        <v>47</v>
      </c>
      <c r="G48" t="s">
        <v>74</v>
      </c>
      <c r="H48" t="s">
        <v>74</v>
      </c>
      <c r="I48" t="s">
        <v>24</v>
      </c>
      <c r="J48" t="s">
        <v>25</v>
      </c>
      <c r="K48" t="s">
        <v>20</v>
      </c>
      <c r="L48" t="s">
        <v>32</v>
      </c>
      <c r="M48" t="s">
        <v>22</v>
      </c>
    </row>
    <row r="49" spans="1:13">
      <c r="A49" t="s">
        <v>13</v>
      </c>
      <c r="B49">
        <v>11623441</v>
      </c>
      <c r="C49" t="s">
        <v>14</v>
      </c>
      <c r="D49" t="s">
        <v>15</v>
      </c>
      <c r="E49" t="s">
        <v>16</v>
      </c>
      <c r="F49">
        <v>48</v>
      </c>
      <c r="G49" t="s">
        <v>75</v>
      </c>
      <c r="H49" t="s">
        <v>74</v>
      </c>
      <c r="I49" t="s">
        <v>28</v>
      </c>
      <c r="J49" t="s">
        <v>25</v>
      </c>
      <c r="K49" t="s">
        <v>20</v>
      </c>
      <c r="L49" t="s">
        <v>32</v>
      </c>
      <c r="M49" t="s">
        <v>22</v>
      </c>
    </row>
    <row r="50" spans="1:13">
      <c r="A50" t="s">
        <v>13</v>
      </c>
      <c r="B50">
        <v>11623441</v>
      </c>
      <c r="C50" t="s">
        <v>14</v>
      </c>
      <c r="D50" t="s">
        <v>15</v>
      </c>
      <c r="E50" t="s">
        <v>16</v>
      </c>
      <c r="F50">
        <v>49</v>
      </c>
      <c r="G50" t="s">
        <v>76</v>
      </c>
      <c r="H50" t="s">
        <v>74</v>
      </c>
      <c r="I50" t="s">
        <v>30</v>
      </c>
      <c r="J50" t="s">
        <v>25</v>
      </c>
      <c r="K50" t="s">
        <v>20</v>
      </c>
      <c r="L50" t="s">
        <v>32</v>
      </c>
      <c r="M50" t="s">
        <v>22</v>
      </c>
    </row>
    <row r="51" spans="1:13">
      <c r="A51" t="s">
        <v>13</v>
      </c>
      <c r="B51">
        <v>11623441</v>
      </c>
      <c r="C51" t="s">
        <v>14</v>
      </c>
      <c r="D51" t="s">
        <v>15</v>
      </c>
      <c r="E51" t="s">
        <v>16</v>
      </c>
      <c r="F51">
        <v>50</v>
      </c>
      <c r="G51" t="s">
        <v>77</v>
      </c>
      <c r="H51" t="s">
        <v>77</v>
      </c>
      <c r="I51" t="s">
        <v>24</v>
      </c>
      <c r="J51" t="s">
        <v>25</v>
      </c>
      <c r="K51" t="s">
        <v>20</v>
      </c>
      <c r="L51" t="s">
        <v>32</v>
      </c>
      <c r="M51" t="s">
        <v>22</v>
      </c>
    </row>
    <row r="52" spans="1:13">
      <c r="A52" t="s">
        <v>13</v>
      </c>
      <c r="B52">
        <v>11623441</v>
      </c>
      <c r="C52" t="s">
        <v>14</v>
      </c>
      <c r="D52" t="s">
        <v>15</v>
      </c>
      <c r="E52" t="s">
        <v>16</v>
      </c>
      <c r="F52">
        <v>51</v>
      </c>
      <c r="G52" t="s">
        <v>78</v>
      </c>
      <c r="H52" t="s">
        <v>77</v>
      </c>
      <c r="I52" t="s">
        <v>28</v>
      </c>
      <c r="J52" t="s">
        <v>25</v>
      </c>
      <c r="K52" t="s">
        <v>20</v>
      </c>
      <c r="L52" t="s">
        <v>32</v>
      </c>
      <c r="M52" t="s">
        <v>22</v>
      </c>
    </row>
    <row r="53" spans="1:13">
      <c r="A53" t="s">
        <v>13</v>
      </c>
      <c r="B53">
        <v>11623441</v>
      </c>
      <c r="C53" t="s">
        <v>14</v>
      </c>
      <c r="D53" t="s">
        <v>15</v>
      </c>
      <c r="E53" t="s">
        <v>16</v>
      </c>
      <c r="F53">
        <v>52</v>
      </c>
      <c r="G53" t="s">
        <v>79</v>
      </c>
      <c r="H53" t="s">
        <v>77</v>
      </c>
      <c r="I53" t="s">
        <v>30</v>
      </c>
      <c r="J53" t="s">
        <v>25</v>
      </c>
      <c r="K53" t="s">
        <v>20</v>
      </c>
      <c r="L53" t="s">
        <v>32</v>
      </c>
      <c r="M53" t="s">
        <v>22</v>
      </c>
    </row>
    <row r="54" spans="1:13">
      <c r="A54" t="s">
        <v>13</v>
      </c>
      <c r="B54">
        <v>11623441</v>
      </c>
      <c r="C54" t="s">
        <v>14</v>
      </c>
      <c r="D54" t="s">
        <v>15</v>
      </c>
      <c r="E54" t="s">
        <v>16</v>
      </c>
      <c r="F54">
        <v>53</v>
      </c>
      <c r="G54" t="s">
        <v>80</v>
      </c>
      <c r="H54" t="s">
        <v>80</v>
      </c>
      <c r="I54" t="s">
        <v>24</v>
      </c>
      <c r="J54" t="s">
        <v>25</v>
      </c>
      <c r="K54" t="s">
        <v>20</v>
      </c>
      <c r="L54" t="s">
        <v>32</v>
      </c>
      <c r="M54" t="s">
        <v>22</v>
      </c>
    </row>
    <row r="55" spans="1:13">
      <c r="A55" t="s">
        <v>13</v>
      </c>
      <c r="B55">
        <v>11623441</v>
      </c>
      <c r="C55" t="s">
        <v>14</v>
      </c>
      <c r="D55" t="s">
        <v>15</v>
      </c>
      <c r="E55" t="s">
        <v>16</v>
      </c>
      <c r="F55">
        <v>54</v>
      </c>
      <c r="G55" t="s">
        <v>81</v>
      </c>
      <c r="H55" t="s">
        <v>80</v>
      </c>
      <c r="I55" t="s">
        <v>28</v>
      </c>
      <c r="J55" t="s">
        <v>25</v>
      </c>
      <c r="K55" t="s">
        <v>20</v>
      </c>
      <c r="L55" t="s">
        <v>32</v>
      </c>
      <c r="M55" t="s">
        <v>22</v>
      </c>
    </row>
    <row r="56" spans="1:13">
      <c r="A56" t="s">
        <v>13</v>
      </c>
      <c r="B56">
        <v>11623441</v>
      </c>
      <c r="C56" t="s">
        <v>14</v>
      </c>
      <c r="D56" t="s">
        <v>15</v>
      </c>
      <c r="E56" t="s">
        <v>16</v>
      </c>
      <c r="F56">
        <v>55</v>
      </c>
      <c r="G56" t="s">
        <v>82</v>
      </c>
      <c r="H56" t="s">
        <v>80</v>
      </c>
      <c r="I56" t="s">
        <v>30</v>
      </c>
      <c r="J56" t="s">
        <v>25</v>
      </c>
      <c r="K56" t="s">
        <v>20</v>
      </c>
      <c r="L56" t="s">
        <v>32</v>
      </c>
      <c r="M56" t="s">
        <v>22</v>
      </c>
    </row>
    <row r="57" spans="1:13">
      <c r="A57" t="s">
        <v>13</v>
      </c>
      <c r="B57">
        <v>11623441</v>
      </c>
      <c r="C57" t="s">
        <v>14</v>
      </c>
      <c r="D57" t="s">
        <v>15</v>
      </c>
      <c r="E57" t="s">
        <v>16</v>
      </c>
      <c r="F57">
        <v>56</v>
      </c>
      <c r="G57" t="s">
        <v>83</v>
      </c>
      <c r="H57" t="s">
        <v>83</v>
      </c>
      <c r="I57" t="s">
        <v>24</v>
      </c>
      <c r="J57" t="s">
        <v>25</v>
      </c>
      <c r="K57" t="s">
        <v>20</v>
      </c>
      <c r="L57" t="s">
        <v>32</v>
      </c>
      <c r="M57" t="s">
        <v>22</v>
      </c>
    </row>
    <row r="58" spans="1:13">
      <c r="A58" t="s">
        <v>13</v>
      </c>
      <c r="B58">
        <v>11623441</v>
      </c>
      <c r="C58" t="s">
        <v>14</v>
      </c>
      <c r="D58" t="s">
        <v>15</v>
      </c>
      <c r="E58" t="s">
        <v>16</v>
      </c>
      <c r="F58">
        <v>57</v>
      </c>
      <c r="G58" t="s">
        <v>84</v>
      </c>
      <c r="H58" t="s">
        <v>83</v>
      </c>
      <c r="I58" t="s">
        <v>28</v>
      </c>
      <c r="J58" t="s">
        <v>25</v>
      </c>
      <c r="K58" t="s">
        <v>20</v>
      </c>
      <c r="L58" t="s">
        <v>32</v>
      </c>
      <c r="M58" t="s">
        <v>22</v>
      </c>
    </row>
    <row r="59" spans="1:13">
      <c r="A59" t="s">
        <v>13</v>
      </c>
      <c r="B59">
        <v>11623441</v>
      </c>
      <c r="C59" t="s">
        <v>14</v>
      </c>
      <c r="D59" t="s">
        <v>15</v>
      </c>
      <c r="E59" t="s">
        <v>16</v>
      </c>
      <c r="F59">
        <v>58</v>
      </c>
      <c r="G59" t="s">
        <v>85</v>
      </c>
      <c r="H59" t="s">
        <v>83</v>
      </c>
      <c r="I59" t="s">
        <v>30</v>
      </c>
      <c r="J59" t="s">
        <v>25</v>
      </c>
      <c r="K59" t="s">
        <v>20</v>
      </c>
      <c r="L59" t="s">
        <v>32</v>
      </c>
      <c r="M59" t="s">
        <v>22</v>
      </c>
    </row>
    <row r="60" spans="1:13">
      <c r="A60" t="s">
        <v>13</v>
      </c>
      <c r="B60">
        <v>11623441</v>
      </c>
      <c r="C60" t="s">
        <v>14</v>
      </c>
      <c r="D60" t="s">
        <v>15</v>
      </c>
      <c r="E60" t="s">
        <v>16</v>
      </c>
      <c r="F60">
        <v>59</v>
      </c>
      <c r="G60" t="s">
        <v>86</v>
      </c>
      <c r="H60" t="s">
        <v>86</v>
      </c>
      <c r="I60" t="s">
        <v>24</v>
      </c>
      <c r="J60" t="s">
        <v>25</v>
      </c>
      <c r="K60" t="s">
        <v>20</v>
      </c>
      <c r="L60" t="s">
        <v>26</v>
      </c>
      <c r="M60" t="s">
        <v>22</v>
      </c>
    </row>
    <row r="61" spans="1:13">
      <c r="A61" t="s">
        <v>13</v>
      </c>
      <c r="B61">
        <v>11623441</v>
      </c>
      <c r="C61" t="s">
        <v>14</v>
      </c>
      <c r="D61" t="s">
        <v>15</v>
      </c>
      <c r="E61" t="s">
        <v>16</v>
      </c>
      <c r="F61">
        <v>60</v>
      </c>
      <c r="G61" t="s">
        <v>87</v>
      </c>
      <c r="H61" t="s">
        <v>86</v>
      </c>
      <c r="I61" t="s">
        <v>28</v>
      </c>
      <c r="J61" t="s">
        <v>25</v>
      </c>
      <c r="K61" t="s">
        <v>20</v>
      </c>
      <c r="L61" t="s">
        <v>26</v>
      </c>
      <c r="M61" t="s">
        <v>22</v>
      </c>
    </row>
    <row r="62" spans="1:13">
      <c r="A62" t="s">
        <v>13</v>
      </c>
      <c r="B62">
        <v>11623441</v>
      </c>
      <c r="C62" t="s">
        <v>14</v>
      </c>
      <c r="D62" t="s">
        <v>15</v>
      </c>
      <c r="E62" t="s">
        <v>16</v>
      </c>
      <c r="F62">
        <v>61</v>
      </c>
      <c r="G62" t="s">
        <v>88</v>
      </c>
      <c r="H62" t="s">
        <v>86</v>
      </c>
      <c r="I62" t="s">
        <v>30</v>
      </c>
      <c r="J62" t="s">
        <v>25</v>
      </c>
      <c r="K62" t="s">
        <v>20</v>
      </c>
      <c r="L62" t="s">
        <v>26</v>
      </c>
      <c r="M62" t="s">
        <v>22</v>
      </c>
    </row>
    <row r="63" spans="1:13">
      <c r="A63" t="s">
        <v>13</v>
      </c>
      <c r="B63">
        <v>11623441</v>
      </c>
      <c r="C63" t="s">
        <v>14</v>
      </c>
      <c r="D63" t="s">
        <v>15</v>
      </c>
      <c r="E63" t="s">
        <v>16</v>
      </c>
      <c r="F63">
        <v>62</v>
      </c>
      <c r="G63" t="s">
        <v>89</v>
      </c>
      <c r="H63" t="s">
        <v>89</v>
      </c>
      <c r="I63" t="s">
        <v>24</v>
      </c>
      <c r="J63" t="s">
        <v>25</v>
      </c>
      <c r="K63" t="s">
        <v>20</v>
      </c>
      <c r="L63" t="s">
        <v>21</v>
      </c>
      <c r="M63" t="s">
        <v>22</v>
      </c>
    </row>
    <row r="64" spans="1:13">
      <c r="A64" t="s">
        <v>13</v>
      </c>
      <c r="B64">
        <v>11623441</v>
      </c>
      <c r="C64" t="s">
        <v>14</v>
      </c>
      <c r="D64" t="s">
        <v>15</v>
      </c>
      <c r="E64" t="s">
        <v>16</v>
      </c>
      <c r="F64">
        <v>63</v>
      </c>
      <c r="G64" t="s">
        <v>90</v>
      </c>
      <c r="H64" t="s">
        <v>89</v>
      </c>
      <c r="I64" t="s">
        <v>28</v>
      </c>
      <c r="J64" t="s">
        <v>25</v>
      </c>
      <c r="K64" t="s">
        <v>20</v>
      </c>
      <c r="L64" t="s">
        <v>21</v>
      </c>
      <c r="M64" t="s">
        <v>22</v>
      </c>
    </row>
    <row r="65" spans="1:13">
      <c r="A65" t="s">
        <v>13</v>
      </c>
      <c r="B65">
        <v>11623441</v>
      </c>
      <c r="C65" t="s">
        <v>14</v>
      </c>
      <c r="D65" t="s">
        <v>15</v>
      </c>
      <c r="E65" t="s">
        <v>16</v>
      </c>
      <c r="F65">
        <v>64</v>
      </c>
      <c r="G65" t="s">
        <v>91</v>
      </c>
      <c r="H65" t="s">
        <v>89</v>
      </c>
      <c r="I65" t="s">
        <v>30</v>
      </c>
      <c r="J65" t="s">
        <v>25</v>
      </c>
      <c r="K65" t="s">
        <v>20</v>
      </c>
      <c r="L65" t="s">
        <v>21</v>
      </c>
      <c r="M65" t="s">
        <v>22</v>
      </c>
    </row>
    <row r="66" spans="1:13">
      <c r="A66" t="s">
        <v>13</v>
      </c>
      <c r="B66">
        <v>11623441</v>
      </c>
      <c r="C66" t="s">
        <v>14</v>
      </c>
      <c r="D66" t="s">
        <v>15</v>
      </c>
      <c r="E66" t="s">
        <v>16</v>
      </c>
      <c r="F66">
        <v>65</v>
      </c>
      <c r="G66" t="s">
        <v>92</v>
      </c>
      <c r="H66" t="s">
        <v>92</v>
      </c>
      <c r="I66" t="s">
        <v>24</v>
      </c>
      <c r="J66" t="s">
        <v>25</v>
      </c>
      <c r="K66" t="s">
        <v>20</v>
      </c>
      <c r="L66" t="s">
        <v>21</v>
      </c>
      <c r="M66" t="s">
        <v>22</v>
      </c>
    </row>
    <row r="67" spans="1:13">
      <c r="A67" t="s">
        <v>13</v>
      </c>
      <c r="B67">
        <v>11623441</v>
      </c>
      <c r="C67" t="s">
        <v>14</v>
      </c>
      <c r="D67" t="s">
        <v>15</v>
      </c>
      <c r="E67" t="s">
        <v>16</v>
      </c>
      <c r="F67">
        <v>66</v>
      </c>
      <c r="G67" t="s">
        <v>93</v>
      </c>
      <c r="H67" t="s">
        <v>92</v>
      </c>
      <c r="I67" t="s">
        <v>28</v>
      </c>
      <c r="J67" t="s">
        <v>25</v>
      </c>
      <c r="K67" t="s">
        <v>20</v>
      </c>
      <c r="L67" t="s">
        <v>21</v>
      </c>
      <c r="M67" t="s">
        <v>22</v>
      </c>
    </row>
    <row r="68" spans="1:13">
      <c r="A68" t="s">
        <v>13</v>
      </c>
      <c r="B68">
        <v>11623441</v>
      </c>
      <c r="C68" t="s">
        <v>14</v>
      </c>
      <c r="D68" t="s">
        <v>15</v>
      </c>
      <c r="E68" t="s">
        <v>16</v>
      </c>
      <c r="F68">
        <v>67</v>
      </c>
      <c r="G68" t="s">
        <v>94</v>
      </c>
      <c r="H68" t="s">
        <v>92</v>
      </c>
      <c r="I68" t="s">
        <v>30</v>
      </c>
      <c r="J68" t="s">
        <v>25</v>
      </c>
      <c r="K68" t="s">
        <v>20</v>
      </c>
      <c r="L68" t="s">
        <v>21</v>
      </c>
      <c r="M68" t="s">
        <v>22</v>
      </c>
    </row>
    <row r="69" spans="1:13">
      <c r="A69" t="s">
        <v>13</v>
      </c>
      <c r="B69">
        <v>11623441</v>
      </c>
      <c r="C69" t="s">
        <v>14</v>
      </c>
      <c r="D69" t="s">
        <v>15</v>
      </c>
      <c r="E69" t="s">
        <v>16</v>
      </c>
      <c r="F69">
        <v>68</v>
      </c>
      <c r="G69" t="s">
        <v>95</v>
      </c>
      <c r="H69" t="s">
        <v>95</v>
      </c>
      <c r="I69" t="s">
        <v>24</v>
      </c>
      <c r="J69" t="s">
        <v>25</v>
      </c>
      <c r="K69" t="s">
        <v>20</v>
      </c>
      <c r="L69" t="s">
        <v>26</v>
      </c>
      <c r="M69" t="s">
        <v>22</v>
      </c>
    </row>
    <row r="70" spans="1:13">
      <c r="A70" t="s">
        <v>13</v>
      </c>
      <c r="B70">
        <v>11623441</v>
      </c>
      <c r="C70" t="s">
        <v>14</v>
      </c>
      <c r="D70" t="s">
        <v>15</v>
      </c>
      <c r="E70" t="s">
        <v>16</v>
      </c>
      <c r="F70">
        <v>69</v>
      </c>
      <c r="G70" t="s">
        <v>96</v>
      </c>
      <c r="H70" t="s">
        <v>95</v>
      </c>
      <c r="I70" t="s">
        <v>28</v>
      </c>
      <c r="J70" t="s">
        <v>25</v>
      </c>
      <c r="K70" t="s">
        <v>20</v>
      </c>
      <c r="L70" t="s">
        <v>26</v>
      </c>
      <c r="M70" t="s">
        <v>22</v>
      </c>
    </row>
    <row r="71" spans="1:13">
      <c r="A71" t="s">
        <v>13</v>
      </c>
      <c r="B71">
        <v>11623441</v>
      </c>
      <c r="C71" t="s">
        <v>14</v>
      </c>
      <c r="D71" t="s">
        <v>15</v>
      </c>
      <c r="E71" t="s">
        <v>16</v>
      </c>
      <c r="F71">
        <v>70</v>
      </c>
      <c r="G71" t="s">
        <v>97</v>
      </c>
      <c r="H71" t="s">
        <v>95</v>
      </c>
      <c r="I71" t="s">
        <v>30</v>
      </c>
      <c r="J71" t="s">
        <v>25</v>
      </c>
      <c r="K71" t="s">
        <v>20</v>
      </c>
      <c r="L71" t="s">
        <v>26</v>
      </c>
      <c r="M71" t="s">
        <v>22</v>
      </c>
    </row>
    <row r="72" spans="1:13">
      <c r="A72" t="s">
        <v>13</v>
      </c>
      <c r="B72">
        <v>11623441</v>
      </c>
      <c r="C72" t="s">
        <v>14</v>
      </c>
      <c r="D72" t="s">
        <v>15</v>
      </c>
      <c r="E72" t="s">
        <v>16</v>
      </c>
      <c r="F72">
        <v>71</v>
      </c>
      <c r="G72" t="s">
        <v>98</v>
      </c>
      <c r="H72" t="s">
        <v>98</v>
      </c>
      <c r="I72" t="s">
        <v>24</v>
      </c>
      <c r="J72" t="s">
        <v>25</v>
      </c>
      <c r="K72" t="s">
        <v>20</v>
      </c>
      <c r="L72" t="s">
        <v>32</v>
      </c>
      <c r="M72" t="s">
        <v>22</v>
      </c>
    </row>
    <row r="73" spans="1:13">
      <c r="A73" t="s">
        <v>13</v>
      </c>
      <c r="B73">
        <v>11623441</v>
      </c>
      <c r="C73" t="s">
        <v>14</v>
      </c>
      <c r="D73" t="s">
        <v>15</v>
      </c>
      <c r="E73" t="s">
        <v>16</v>
      </c>
      <c r="F73">
        <v>72</v>
      </c>
      <c r="G73" t="s">
        <v>99</v>
      </c>
      <c r="H73" t="s">
        <v>98</v>
      </c>
      <c r="I73" t="s">
        <v>28</v>
      </c>
      <c r="J73" t="s">
        <v>25</v>
      </c>
      <c r="K73" t="s">
        <v>20</v>
      </c>
      <c r="L73" t="s">
        <v>32</v>
      </c>
      <c r="M73" t="s">
        <v>22</v>
      </c>
    </row>
    <row r="74" spans="1:13">
      <c r="A74" t="s">
        <v>13</v>
      </c>
      <c r="B74">
        <v>11623441</v>
      </c>
      <c r="C74" t="s">
        <v>14</v>
      </c>
      <c r="D74" t="s">
        <v>15</v>
      </c>
      <c r="E74" t="s">
        <v>16</v>
      </c>
      <c r="F74">
        <v>73</v>
      </c>
      <c r="G74" t="s">
        <v>100</v>
      </c>
      <c r="H74" t="s">
        <v>98</v>
      </c>
      <c r="I74" t="s">
        <v>30</v>
      </c>
      <c r="J74" t="s">
        <v>25</v>
      </c>
      <c r="K74" t="s">
        <v>20</v>
      </c>
      <c r="L74" t="s">
        <v>32</v>
      </c>
      <c r="M74" t="s">
        <v>22</v>
      </c>
    </row>
    <row r="75" spans="1:13">
      <c r="A75" t="s">
        <v>13</v>
      </c>
      <c r="B75">
        <v>11623441</v>
      </c>
      <c r="C75" t="s">
        <v>14</v>
      </c>
      <c r="D75" t="s">
        <v>15</v>
      </c>
      <c r="E75" t="s">
        <v>16</v>
      </c>
      <c r="F75">
        <v>74</v>
      </c>
      <c r="G75" t="s">
        <v>101</v>
      </c>
      <c r="H75" t="s">
        <v>101</v>
      </c>
      <c r="I75" t="s">
        <v>24</v>
      </c>
      <c r="J75" t="s">
        <v>25</v>
      </c>
      <c r="K75" t="s">
        <v>20</v>
      </c>
      <c r="L75" t="s">
        <v>32</v>
      </c>
      <c r="M75" t="s">
        <v>22</v>
      </c>
    </row>
    <row r="76" spans="1:13">
      <c r="A76" t="s">
        <v>13</v>
      </c>
      <c r="B76">
        <v>11623441</v>
      </c>
      <c r="C76" t="s">
        <v>14</v>
      </c>
      <c r="D76" t="s">
        <v>15</v>
      </c>
      <c r="E76" t="s">
        <v>16</v>
      </c>
      <c r="F76">
        <v>75</v>
      </c>
      <c r="G76" t="s">
        <v>102</v>
      </c>
      <c r="H76" t="s">
        <v>101</v>
      </c>
      <c r="I76" t="s">
        <v>28</v>
      </c>
      <c r="J76" t="s">
        <v>25</v>
      </c>
      <c r="K76" t="s">
        <v>20</v>
      </c>
      <c r="L76" t="s">
        <v>32</v>
      </c>
      <c r="M76" t="s">
        <v>22</v>
      </c>
    </row>
    <row r="77" spans="1:13">
      <c r="A77" t="s">
        <v>13</v>
      </c>
      <c r="B77">
        <v>11623441</v>
      </c>
      <c r="C77" t="s">
        <v>14</v>
      </c>
      <c r="D77" t="s">
        <v>15</v>
      </c>
      <c r="E77" t="s">
        <v>16</v>
      </c>
      <c r="F77">
        <v>76</v>
      </c>
      <c r="G77" t="s">
        <v>103</v>
      </c>
      <c r="H77" t="s">
        <v>101</v>
      </c>
      <c r="I77" t="s">
        <v>30</v>
      </c>
      <c r="J77" t="s">
        <v>25</v>
      </c>
      <c r="K77" t="s">
        <v>20</v>
      </c>
      <c r="L77" t="s">
        <v>32</v>
      </c>
      <c r="M77" t="s">
        <v>22</v>
      </c>
    </row>
    <row r="78" spans="1:13">
      <c r="A78" t="s">
        <v>13</v>
      </c>
      <c r="B78">
        <v>11623441</v>
      </c>
      <c r="C78" t="s">
        <v>14</v>
      </c>
      <c r="D78" t="s">
        <v>15</v>
      </c>
      <c r="E78" t="s">
        <v>16</v>
      </c>
      <c r="F78">
        <v>77</v>
      </c>
      <c r="G78" t="s">
        <v>104</v>
      </c>
      <c r="H78" t="s">
        <v>104</v>
      </c>
      <c r="I78" t="s">
        <v>24</v>
      </c>
      <c r="J78" t="s">
        <v>25</v>
      </c>
      <c r="K78" t="s">
        <v>20</v>
      </c>
      <c r="L78" t="s">
        <v>32</v>
      </c>
      <c r="M78" t="s">
        <v>22</v>
      </c>
    </row>
    <row r="79" spans="1:13">
      <c r="A79" t="s">
        <v>13</v>
      </c>
      <c r="B79">
        <v>11623441</v>
      </c>
      <c r="C79" t="s">
        <v>14</v>
      </c>
      <c r="D79" t="s">
        <v>15</v>
      </c>
      <c r="E79" t="s">
        <v>16</v>
      </c>
      <c r="F79">
        <v>78</v>
      </c>
      <c r="G79" t="s">
        <v>105</v>
      </c>
      <c r="H79" t="s">
        <v>104</v>
      </c>
      <c r="I79" t="s">
        <v>28</v>
      </c>
      <c r="J79" t="s">
        <v>25</v>
      </c>
      <c r="K79" t="s">
        <v>20</v>
      </c>
      <c r="L79" t="s">
        <v>32</v>
      </c>
      <c r="M79" t="s">
        <v>22</v>
      </c>
    </row>
    <row r="80" spans="1:13">
      <c r="A80" t="s">
        <v>13</v>
      </c>
      <c r="B80">
        <v>11623441</v>
      </c>
      <c r="C80" t="s">
        <v>14</v>
      </c>
      <c r="D80" t="s">
        <v>15</v>
      </c>
      <c r="E80" t="s">
        <v>16</v>
      </c>
      <c r="F80">
        <v>79</v>
      </c>
      <c r="G80" t="s">
        <v>106</v>
      </c>
      <c r="H80" t="s">
        <v>104</v>
      </c>
      <c r="I80" t="s">
        <v>30</v>
      </c>
      <c r="J80" t="s">
        <v>25</v>
      </c>
      <c r="K80" t="s">
        <v>20</v>
      </c>
      <c r="L80" t="s">
        <v>32</v>
      </c>
      <c r="M80" t="s">
        <v>22</v>
      </c>
    </row>
    <row r="81" spans="1:13">
      <c r="A81" t="s">
        <v>13</v>
      </c>
      <c r="B81">
        <v>11623441</v>
      </c>
      <c r="C81" t="s">
        <v>14</v>
      </c>
      <c r="D81" t="s">
        <v>15</v>
      </c>
      <c r="E81" t="s">
        <v>16</v>
      </c>
      <c r="F81">
        <v>80</v>
      </c>
      <c r="G81" t="s">
        <v>107</v>
      </c>
      <c r="H81" t="s">
        <v>107</v>
      </c>
      <c r="I81" t="s">
        <v>24</v>
      </c>
      <c r="J81" t="s">
        <v>25</v>
      </c>
      <c r="K81" t="s">
        <v>20</v>
      </c>
      <c r="L81" t="s">
        <v>26</v>
      </c>
      <c r="M81" t="s">
        <v>22</v>
      </c>
    </row>
    <row r="82" spans="1:13">
      <c r="A82" t="s">
        <v>13</v>
      </c>
      <c r="B82">
        <v>11623441</v>
      </c>
      <c r="C82" t="s">
        <v>14</v>
      </c>
      <c r="D82" t="s">
        <v>15</v>
      </c>
      <c r="E82" t="s">
        <v>16</v>
      </c>
      <c r="F82">
        <v>81</v>
      </c>
      <c r="G82" t="s">
        <v>108</v>
      </c>
      <c r="H82" t="s">
        <v>107</v>
      </c>
      <c r="I82" t="s">
        <v>28</v>
      </c>
      <c r="J82" t="s">
        <v>25</v>
      </c>
      <c r="K82" t="s">
        <v>20</v>
      </c>
      <c r="L82" t="s">
        <v>26</v>
      </c>
      <c r="M82" t="s">
        <v>22</v>
      </c>
    </row>
    <row r="83" spans="1:13">
      <c r="A83" t="s">
        <v>13</v>
      </c>
      <c r="B83">
        <v>11623441</v>
      </c>
      <c r="C83" t="s">
        <v>14</v>
      </c>
      <c r="D83" t="s">
        <v>15</v>
      </c>
      <c r="E83" t="s">
        <v>16</v>
      </c>
      <c r="F83">
        <v>82</v>
      </c>
      <c r="G83" t="s">
        <v>109</v>
      </c>
      <c r="H83" t="s">
        <v>107</v>
      </c>
      <c r="I83" t="s">
        <v>30</v>
      </c>
      <c r="J83" t="s">
        <v>25</v>
      </c>
      <c r="K83" t="s">
        <v>20</v>
      </c>
      <c r="L83" t="s">
        <v>26</v>
      </c>
      <c r="M83" t="s">
        <v>22</v>
      </c>
    </row>
    <row r="84" spans="1:13">
      <c r="A84" t="s">
        <v>13</v>
      </c>
      <c r="B84">
        <v>11623441</v>
      </c>
      <c r="C84" t="s">
        <v>14</v>
      </c>
      <c r="D84" t="s">
        <v>15</v>
      </c>
      <c r="E84" t="s">
        <v>16</v>
      </c>
      <c r="F84">
        <v>83</v>
      </c>
      <c r="G84" t="s">
        <v>110</v>
      </c>
      <c r="H84" t="s">
        <v>110</v>
      </c>
      <c r="I84" t="s">
        <v>24</v>
      </c>
      <c r="J84" t="s">
        <v>25</v>
      </c>
      <c r="K84" t="s">
        <v>20</v>
      </c>
      <c r="L84" t="s">
        <v>26</v>
      </c>
      <c r="M84" t="s">
        <v>22</v>
      </c>
    </row>
    <row r="85" spans="1:13">
      <c r="A85" t="s">
        <v>13</v>
      </c>
      <c r="B85">
        <v>11623441</v>
      </c>
      <c r="C85" t="s">
        <v>14</v>
      </c>
      <c r="D85" t="s">
        <v>15</v>
      </c>
      <c r="E85" t="s">
        <v>16</v>
      </c>
      <c r="F85">
        <v>84</v>
      </c>
      <c r="G85" t="s">
        <v>111</v>
      </c>
      <c r="H85" t="s">
        <v>110</v>
      </c>
      <c r="I85" t="s">
        <v>28</v>
      </c>
      <c r="J85" t="s">
        <v>25</v>
      </c>
      <c r="K85" t="s">
        <v>20</v>
      </c>
      <c r="L85" t="s">
        <v>26</v>
      </c>
      <c r="M85" t="s">
        <v>22</v>
      </c>
    </row>
    <row r="86" spans="1:13">
      <c r="A86" t="s">
        <v>13</v>
      </c>
      <c r="B86">
        <v>11623441</v>
      </c>
      <c r="C86" t="s">
        <v>14</v>
      </c>
      <c r="D86" t="s">
        <v>15</v>
      </c>
      <c r="E86" t="s">
        <v>16</v>
      </c>
      <c r="F86">
        <v>85</v>
      </c>
      <c r="G86" t="s">
        <v>112</v>
      </c>
      <c r="H86" t="s">
        <v>110</v>
      </c>
      <c r="I86" t="s">
        <v>30</v>
      </c>
      <c r="J86" t="s">
        <v>25</v>
      </c>
      <c r="K86" t="s">
        <v>20</v>
      </c>
      <c r="L86" t="s">
        <v>26</v>
      </c>
      <c r="M86" t="s">
        <v>22</v>
      </c>
    </row>
    <row r="87" spans="1:13">
      <c r="A87" t="s">
        <v>13</v>
      </c>
      <c r="B87">
        <v>11623441</v>
      </c>
      <c r="C87" t="s">
        <v>14</v>
      </c>
      <c r="D87" t="s">
        <v>15</v>
      </c>
      <c r="E87" t="s">
        <v>16</v>
      </c>
      <c r="F87">
        <v>86</v>
      </c>
      <c r="G87" t="s">
        <v>113</v>
      </c>
      <c r="H87" t="s">
        <v>113</v>
      </c>
      <c r="I87" t="s">
        <v>24</v>
      </c>
      <c r="J87" t="s">
        <v>25</v>
      </c>
      <c r="K87" t="s">
        <v>20</v>
      </c>
      <c r="L87" t="s">
        <v>26</v>
      </c>
      <c r="M87" t="s">
        <v>22</v>
      </c>
    </row>
    <row r="88" spans="1:13">
      <c r="A88" t="s">
        <v>13</v>
      </c>
      <c r="B88">
        <v>11623441</v>
      </c>
      <c r="C88" t="s">
        <v>14</v>
      </c>
      <c r="D88" t="s">
        <v>15</v>
      </c>
      <c r="E88" t="s">
        <v>16</v>
      </c>
      <c r="F88">
        <v>87</v>
      </c>
      <c r="G88" t="s">
        <v>114</v>
      </c>
      <c r="H88" t="s">
        <v>113</v>
      </c>
      <c r="I88" t="s">
        <v>28</v>
      </c>
      <c r="J88" t="s">
        <v>25</v>
      </c>
      <c r="K88" t="s">
        <v>20</v>
      </c>
      <c r="L88" t="s">
        <v>26</v>
      </c>
      <c r="M88" t="s">
        <v>22</v>
      </c>
    </row>
    <row r="89" spans="1:13">
      <c r="A89" t="s">
        <v>13</v>
      </c>
      <c r="B89">
        <v>11623441</v>
      </c>
      <c r="C89" t="s">
        <v>14</v>
      </c>
      <c r="D89" t="s">
        <v>15</v>
      </c>
      <c r="E89" t="s">
        <v>16</v>
      </c>
      <c r="F89">
        <v>88</v>
      </c>
      <c r="G89" t="s">
        <v>115</v>
      </c>
      <c r="H89" t="s">
        <v>113</v>
      </c>
      <c r="I89" t="s">
        <v>30</v>
      </c>
      <c r="J89" t="s">
        <v>25</v>
      </c>
      <c r="K89" t="s">
        <v>20</v>
      </c>
      <c r="L89" t="s">
        <v>26</v>
      </c>
      <c r="M89" t="s">
        <v>22</v>
      </c>
    </row>
    <row r="90" spans="1:13">
      <c r="A90" t="s">
        <v>13</v>
      </c>
      <c r="B90">
        <v>11623441</v>
      </c>
      <c r="C90" t="s">
        <v>14</v>
      </c>
      <c r="D90" t="s">
        <v>15</v>
      </c>
      <c r="E90" t="s">
        <v>16</v>
      </c>
      <c r="F90">
        <v>89</v>
      </c>
      <c r="G90" t="s">
        <v>116</v>
      </c>
      <c r="H90" t="s">
        <v>116</v>
      </c>
      <c r="I90" t="s">
        <v>24</v>
      </c>
      <c r="J90" t="s">
        <v>25</v>
      </c>
      <c r="K90" t="s">
        <v>20</v>
      </c>
      <c r="L90" t="s">
        <v>32</v>
      </c>
      <c r="M90" t="s">
        <v>22</v>
      </c>
    </row>
    <row r="91" spans="1:13">
      <c r="A91" t="s">
        <v>13</v>
      </c>
      <c r="B91">
        <v>11623441</v>
      </c>
      <c r="C91" t="s">
        <v>14</v>
      </c>
      <c r="D91" t="s">
        <v>15</v>
      </c>
      <c r="E91" t="s">
        <v>16</v>
      </c>
      <c r="F91">
        <v>90</v>
      </c>
      <c r="G91" t="s">
        <v>117</v>
      </c>
      <c r="H91" t="s">
        <v>116</v>
      </c>
      <c r="I91" t="s">
        <v>28</v>
      </c>
      <c r="J91" t="s">
        <v>25</v>
      </c>
      <c r="K91" t="s">
        <v>20</v>
      </c>
      <c r="L91" t="s">
        <v>32</v>
      </c>
      <c r="M91" t="s">
        <v>22</v>
      </c>
    </row>
    <row r="92" spans="1:13">
      <c r="A92" t="s">
        <v>13</v>
      </c>
      <c r="B92">
        <v>11623441</v>
      </c>
      <c r="C92" t="s">
        <v>14</v>
      </c>
      <c r="D92" t="s">
        <v>15</v>
      </c>
      <c r="E92" t="s">
        <v>16</v>
      </c>
      <c r="F92">
        <v>91</v>
      </c>
      <c r="G92" t="s">
        <v>118</v>
      </c>
      <c r="H92" t="s">
        <v>116</v>
      </c>
      <c r="I92" t="s">
        <v>30</v>
      </c>
      <c r="J92" t="s">
        <v>25</v>
      </c>
      <c r="K92" t="s">
        <v>20</v>
      </c>
      <c r="L92" t="s">
        <v>32</v>
      </c>
      <c r="M92" t="s">
        <v>22</v>
      </c>
    </row>
    <row r="93" spans="1:13">
      <c r="A93" t="s">
        <v>13</v>
      </c>
      <c r="B93">
        <v>11623441</v>
      </c>
      <c r="C93" t="s">
        <v>14</v>
      </c>
      <c r="D93" t="s">
        <v>15</v>
      </c>
      <c r="E93" t="s">
        <v>16</v>
      </c>
      <c r="F93">
        <v>92</v>
      </c>
      <c r="G93" t="s">
        <v>119</v>
      </c>
      <c r="H93" t="s">
        <v>119</v>
      </c>
      <c r="I93" t="s">
        <v>24</v>
      </c>
      <c r="J93" t="s">
        <v>25</v>
      </c>
      <c r="K93" t="s">
        <v>20</v>
      </c>
      <c r="L93" t="s">
        <v>32</v>
      </c>
      <c r="M93" t="s">
        <v>22</v>
      </c>
    </row>
    <row r="94" spans="1:13">
      <c r="A94" t="s">
        <v>13</v>
      </c>
      <c r="B94">
        <v>11623441</v>
      </c>
      <c r="C94" t="s">
        <v>14</v>
      </c>
      <c r="D94" t="s">
        <v>15</v>
      </c>
      <c r="E94" t="s">
        <v>16</v>
      </c>
      <c r="F94">
        <v>93</v>
      </c>
      <c r="G94" t="s">
        <v>120</v>
      </c>
      <c r="H94" t="s">
        <v>119</v>
      </c>
      <c r="I94" t="s">
        <v>28</v>
      </c>
      <c r="J94" t="s">
        <v>25</v>
      </c>
      <c r="K94" t="s">
        <v>20</v>
      </c>
      <c r="L94" t="s">
        <v>32</v>
      </c>
      <c r="M94" t="s">
        <v>22</v>
      </c>
    </row>
    <row r="95" spans="1:13">
      <c r="A95" t="s">
        <v>13</v>
      </c>
      <c r="B95">
        <v>11623441</v>
      </c>
      <c r="C95" t="s">
        <v>14</v>
      </c>
      <c r="D95" t="s">
        <v>15</v>
      </c>
      <c r="E95" t="s">
        <v>16</v>
      </c>
      <c r="F95">
        <v>94</v>
      </c>
      <c r="G95" t="s">
        <v>121</v>
      </c>
      <c r="H95" t="s">
        <v>119</v>
      </c>
      <c r="I95" t="s">
        <v>30</v>
      </c>
      <c r="J95" t="s">
        <v>25</v>
      </c>
      <c r="K95" t="s">
        <v>20</v>
      </c>
      <c r="L95" t="s">
        <v>32</v>
      </c>
      <c r="M95" t="s">
        <v>22</v>
      </c>
    </row>
    <row r="96" spans="1:13">
      <c r="A96" t="s">
        <v>13</v>
      </c>
      <c r="B96">
        <v>11623441</v>
      </c>
      <c r="C96" t="s">
        <v>14</v>
      </c>
      <c r="D96" t="s">
        <v>15</v>
      </c>
      <c r="E96" t="s">
        <v>16</v>
      </c>
      <c r="F96">
        <v>95</v>
      </c>
      <c r="G96" t="s">
        <v>122</v>
      </c>
      <c r="H96" t="s">
        <v>122</v>
      </c>
      <c r="I96" t="s">
        <v>24</v>
      </c>
      <c r="J96" t="s">
        <v>25</v>
      </c>
      <c r="K96" t="s">
        <v>20</v>
      </c>
      <c r="L96" t="s">
        <v>26</v>
      </c>
      <c r="M96" t="s">
        <v>22</v>
      </c>
    </row>
    <row r="97" spans="1:13">
      <c r="A97" t="s">
        <v>13</v>
      </c>
      <c r="B97">
        <v>11623441</v>
      </c>
      <c r="C97" t="s">
        <v>14</v>
      </c>
      <c r="D97" t="s">
        <v>15</v>
      </c>
      <c r="E97" t="s">
        <v>16</v>
      </c>
      <c r="F97">
        <v>96</v>
      </c>
      <c r="G97" t="s">
        <v>123</v>
      </c>
      <c r="H97" t="s">
        <v>122</v>
      </c>
      <c r="I97" t="s">
        <v>28</v>
      </c>
      <c r="J97" t="s">
        <v>25</v>
      </c>
      <c r="K97" t="s">
        <v>20</v>
      </c>
      <c r="L97" t="s">
        <v>26</v>
      </c>
      <c r="M97" t="s">
        <v>22</v>
      </c>
    </row>
    <row r="98" spans="1:13">
      <c r="A98" t="s">
        <v>13</v>
      </c>
      <c r="B98">
        <v>11623441</v>
      </c>
      <c r="C98" t="s">
        <v>14</v>
      </c>
      <c r="D98" t="s">
        <v>15</v>
      </c>
      <c r="E98" t="s">
        <v>16</v>
      </c>
      <c r="F98">
        <v>97</v>
      </c>
      <c r="G98" t="s">
        <v>124</v>
      </c>
      <c r="H98" t="s">
        <v>122</v>
      </c>
      <c r="I98" t="s">
        <v>30</v>
      </c>
      <c r="J98" t="s">
        <v>25</v>
      </c>
      <c r="K98" t="s">
        <v>20</v>
      </c>
      <c r="L98" t="s">
        <v>26</v>
      </c>
      <c r="M98" t="s">
        <v>22</v>
      </c>
    </row>
    <row r="99" spans="1:13">
      <c r="A99" t="s">
        <v>13</v>
      </c>
      <c r="B99">
        <v>11623441</v>
      </c>
      <c r="C99" t="s">
        <v>14</v>
      </c>
      <c r="D99" t="s">
        <v>15</v>
      </c>
      <c r="E99" t="s">
        <v>16</v>
      </c>
      <c r="F99">
        <v>98</v>
      </c>
      <c r="G99" t="s">
        <v>125</v>
      </c>
      <c r="H99" t="s">
        <v>125</v>
      </c>
      <c r="I99" t="s">
        <v>24</v>
      </c>
      <c r="J99" t="s">
        <v>25</v>
      </c>
      <c r="K99" t="s">
        <v>20</v>
      </c>
      <c r="L99" t="s">
        <v>32</v>
      </c>
      <c r="M99" t="s">
        <v>22</v>
      </c>
    </row>
    <row r="100" spans="1:13">
      <c r="A100" t="s">
        <v>13</v>
      </c>
      <c r="B100">
        <v>11623441</v>
      </c>
      <c r="C100" t="s">
        <v>14</v>
      </c>
      <c r="D100" t="s">
        <v>15</v>
      </c>
      <c r="E100" t="s">
        <v>16</v>
      </c>
      <c r="F100">
        <v>99</v>
      </c>
      <c r="G100" t="s">
        <v>126</v>
      </c>
      <c r="H100" t="s">
        <v>125</v>
      </c>
      <c r="I100" t="s">
        <v>28</v>
      </c>
      <c r="J100" t="s">
        <v>25</v>
      </c>
      <c r="K100" t="s">
        <v>20</v>
      </c>
      <c r="L100" t="s">
        <v>32</v>
      </c>
      <c r="M100" t="s">
        <v>22</v>
      </c>
    </row>
    <row r="101" spans="1:13">
      <c r="A101" t="s">
        <v>13</v>
      </c>
      <c r="B101">
        <v>11623441</v>
      </c>
      <c r="C101" t="s">
        <v>14</v>
      </c>
      <c r="D101" t="s">
        <v>15</v>
      </c>
      <c r="E101" t="s">
        <v>16</v>
      </c>
      <c r="F101">
        <v>100</v>
      </c>
      <c r="G101" t="s">
        <v>127</v>
      </c>
      <c r="H101" t="s">
        <v>125</v>
      </c>
      <c r="I101" t="s">
        <v>30</v>
      </c>
      <c r="J101" t="s">
        <v>25</v>
      </c>
      <c r="K101" t="s">
        <v>20</v>
      </c>
      <c r="L101" t="s">
        <v>32</v>
      </c>
      <c r="M101" t="s">
        <v>22</v>
      </c>
    </row>
    <row r="102" spans="1:13">
      <c r="A102" t="s">
        <v>13</v>
      </c>
      <c r="B102">
        <v>11623441</v>
      </c>
      <c r="C102" t="s">
        <v>14</v>
      </c>
      <c r="D102" t="s">
        <v>15</v>
      </c>
      <c r="E102" t="s">
        <v>16</v>
      </c>
      <c r="F102">
        <v>101</v>
      </c>
      <c r="G102" t="s">
        <v>128</v>
      </c>
      <c r="H102" t="s">
        <v>128</v>
      </c>
      <c r="I102" t="s">
        <v>24</v>
      </c>
      <c r="J102" t="s">
        <v>25</v>
      </c>
      <c r="K102" t="s">
        <v>20</v>
      </c>
      <c r="L102" t="s">
        <v>32</v>
      </c>
      <c r="M102" t="s">
        <v>22</v>
      </c>
    </row>
    <row r="103" spans="1:13">
      <c r="A103" t="s">
        <v>13</v>
      </c>
      <c r="B103">
        <v>11623441</v>
      </c>
      <c r="C103" t="s">
        <v>14</v>
      </c>
      <c r="D103" t="s">
        <v>15</v>
      </c>
      <c r="E103" t="s">
        <v>16</v>
      </c>
      <c r="F103">
        <v>102</v>
      </c>
      <c r="G103" t="s">
        <v>129</v>
      </c>
      <c r="H103" t="s">
        <v>128</v>
      </c>
      <c r="I103" t="s">
        <v>28</v>
      </c>
      <c r="J103" t="s">
        <v>25</v>
      </c>
      <c r="K103" t="s">
        <v>20</v>
      </c>
      <c r="L103" t="s">
        <v>32</v>
      </c>
      <c r="M103" t="s">
        <v>22</v>
      </c>
    </row>
    <row r="104" spans="1:13">
      <c r="A104" t="s">
        <v>13</v>
      </c>
      <c r="B104">
        <v>11623441</v>
      </c>
      <c r="C104" t="s">
        <v>14</v>
      </c>
      <c r="D104" t="s">
        <v>15</v>
      </c>
      <c r="E104" t="s">
        <v>16</v>
      </c>
      <c r="F104">
        <v>103</v>
      </c>
      <c r="G104" t="s">
        <v>130</v>
      </c>
      <c r="H104" t="s">
        <v>128</v>
      </c>
      <c r="I104" t="s">
        <v>30</v>
      </c>
      <c r="J104" t="s">
        <v>25</v>
      </c>
      <c r="K104" t="s">
        <v>20</v>
      </c>
      <c r="L104" t="s">
        <v>32</v>
      </c>
      <c r="M104" t="s">
        <v>22</v>
      </c>
    </row>
    <row r="105" spans="1:13">
      <c r="A105" t="s">
        <v>13</v>
      </c>
      <c r="B105">
        <v>11623441</v>
      </c>
      <c r="C105" t="s">
        <v>14</v>
      </c>
      <c r="D105" t="s">
        <v>15</v>
      </c>
      <c r="E105" t="s">
        <v>16</v>
      </c>
      <c r="F105">
        <v>104</v>
      </c>
      <c r="G105" t="s">
        <v>131</v>
      </c>
      <c r="H105" t="s">
        <v>131</v>
      </c>
      <c r="I105" t="s">
        <v>24</v>
      </c>
      <c r="J105" t="s">
        <v>25</v>
      </c>
      <c r="K105" t="s">
        <v>20</v>
      </c>
      <c r="L105" t="s">
        <v>26</v>
      </c>
      <c r="M105" t="s">
        <v>22</v>
      </c>
    </row>
    <row r="106" spans="1:13">
      <c r="A106" t="s">
        <v>13</v>
      </c>
      <c r="B106">
        <v>11623441</v>
      </c>
      <c r="C106" t="s">
        <v>14</v>
      </c>
      <c r="D106" t="s">
        <v>15</v>
      </c>
      <c r="E106" t="s">
        <v>16</v>
      </c>
      <c r="F106">
        <v>105</v>
      </c>
      <c r="G106" t="s">
        <v>132</v>
      </c>
      <c r="H106" t="s">
        <v>131</v>
      </c>
      <c r="I106" t="s">
        <v>28</v>
      </c>
      <c r="J106" t="s">
        <v>25</v>
      </c>
      <c r="K106" t="s">
        <v>20</v>
      </c>
      <c r="L106" t="s">
        <v>26</v>
      </c>
      <c r="M106" t="s">
        <v>22</v>
      </c>
    </row>
    <row r="107" spans="1:13">
      <c r="A107" t="s">
        <v>13</v>
      </c>
      <c r="B107">
        <v>11623441</v>
      </c>
      <c r="C107" t="s">
        <v>14</v>
      </c>
      <c r="D107" t="s">
        <v>15</v>
      </c>
      <c r="E107" t="s">
        <v>16</v>
      </c>
      <c r="F107">
        <v>106</v>
      </c>
      <c r="G107" t="s">
        <v>133</v>
      </c>
      <c r="H107" t="s">
        <v>131</v>
      </c>
      <c r="I107" t="s">
        <v>30</v>
      </c>
      <c r="J107" t="s">
        <v>25</v>
      </c>
      <c r="K107" t="s">
        <v>20</v>
      </c>
      <c r="L107" t="s">
        <v>26</v>
      </c>
      <c r="M107" t="s">
        <v>22</v>
      </c>
    </row>
    <row r="108" spans="1:13">
      <c r="A108" t="s">
        <v>13</v>
      </c>
      <c r="B108">
        <v>11623441</v>
      </c>
      <c r="C108" t="s">
        <v>14</v>
      </c>
      <c r="D108" t="s">
        <v>15</v>
      </c>
      <c r="E108" t="s">
        <v>16</v>
      </c>
      <c r="F108">
        <v>107</v>
      </c>
      <c r="G108" t="s">
        <v>134</v>
      </c>
      <c r="H108" t="s">
        <v>134</v>
      </c>
      <c r="I108" t="s">
        <v>24</v>
      </c>
      <c r="J108" t="s">
        <v>25</v>
      </c>
      <c r="K108" t="s">
        <v>20</v>
      </c>
      <c r="L108" t="s">
        <v>32</v>
      </c>
      <c r="M108" t="s">
        <v>22</v>
      </c>
    </row>
    <row r="109" spans="1:13">
      <c r="A109" t="s">
        <v>13</v>
      </c>
      <c r="B109">
        <v>11623441</v>
      </c>
      <c r="C109" t="s">
        <v>14</v>
      </c>
      <c r="D109" t="s">
        <v>15</v>
      </c>
      <c r="E109" t="s">
        <v>16</v>
      </c>
      <c r="F109">
        <v>108</v>
      </c>
      <c r="G109" t="s">
        <v>135</v>
      </c>
      <c r="H109" t="s">
        <v>134</v>
      </c>
      <c r="I109" t="s">
        <v>28</v>
      </c>
      <c r="J109" t="s">
        <v>25</v>
      </c>
      <c r="K109" t="s">
        <v>20</v>
      </c>
      <c r="L109" t="s">
        <v>32</v>
      </c>
      <c r="M109" t="s">
        <v>22</v>
      </c>
    </row>
    <row r="110" spans="1:13">
      <c r="A110" t="s">
        <v>13</v>
      </c>
      <c r="B110">
        <v>11623441</v>
      </c>
      <c r="C110" t="s">
        <v>14</v>
      </c>
      <c r="D110" t="s">
        <v>15</v>
      </c>
      <c r="E110" t="s">
        <v>16</v>
      </c>
      <c r="F110">
        <v>109</v>
      </c>
      <c r="G110" t="s">
        <v>136</v>
      </c>
      <c r="H110" t="s">
        <v>134</v>
      </c>
      <c r="I110" t="s">
        <v>30</v>
      </c>
      <c r="J110" t="s">
        <v>25</v>
      </c>
      <c r="K110" t="s">
        <v>20</v>
      </c>
      <c r="L110" t="s">
        <v>32</v>
      </c>
      <c r="M110" t="s">
        <v>22</v>
      </c>
    </row>
    <row r="111" spans="1:13">
      <c r="A111" t="s">
        <v>13</v>
      </c>
      <c r="B111">
        <v>11623441</v>
      </c>
      <c r="C111" t="s">
        <v>14</v>
      </c>
      <c r="D111" t="s">
        <v>15</v>
      </c>
      <c r="E111" t="s">
        <v>16</v>
      </c>
      <c r="F111">
        <v>110</v>
      </c>
      <c r="G111" t="s">
        <v>137</v>
      </c>
      <c r="H111" t="s">
        <v>137</v>
      </c>
      <c r="I111" t="s">
        <v>24</v>
      </c>
      <c r="J111" t="s">
        <v>25</v>
      </c>
      <c r="K111" t="s">
        <v>20</v>
      </c>
      <c r="L111" t="s">
        <v>32</v>
      </c>
      <c r="M111" t="s">
        <v>22</v>
      </c>
    </row>
    <row r="112" spans="1:13">
      <c r="A112" t="s">
        <v>13</v>
      </c>
      <c r="B112">
        <v>11623441</v>
      </c>
      <c r="C112" t="s">
        <v>14</v>
      </c>
      <c r="D112" t="s">
        <v>15</v>
      </c>
      <c r="E112" t="s">
        <v>16</v>
      </c>
      <c r="F112">
        <v>111</v>
      </c>
      <c r="G112" t="s">
        <v>138</v>
      </c>
      <c r="H112" t="s">
        <v>137</v>
      </c>
      <c r="I112" t="s">
        <v>28</v>
      </c>
      <c r="J112" t="s">
        <v>25</v>
      </c>
      <c r="K112" t="s">
        <v>20</v>
      </c>
      <c r="L112" t="s">
        <v>32</v>
      </c>
      <c r="M112" t="s">
        <v>22</v>
      </c>
    </row>
    <row r="113" spans="1:13">
      <c r="A113" t="s">
        <v>13</v>
      </c>
      <c r="B113">
        <v>11623441</v>
      </c>
      <c r="C113" t="s">
        <v>14</v>
      </c>
      <c r="D113" t="s">
        <v>15</v>
      </c>
      <c r="E113" t="s">
        <v>16</v>
      </c>
      <c r="F113">
        <v>112</v>
      </c>
      <c r="G113" t="s">
        <v>139</v>
      </c>
      <c r="H113" t="s">
        <v>137</v>
      </c>
      <c r="I113" t="s">
        <v>30</v>
      </c>
      <c r="J113" t="s">
        <v>25</v>
      </c>
      <c r="K113" t="s">
        <v>20</v>
      </c>
      <c r="L113" t="s">
        <v>32</v>
      </c>
      <c r="M113" t="s">
        <v>22</v>
      </c>
    </row>
    <row r="114" spans="1:13">
      <c r="A114" t="s">
        <v>13</v>
      </c>
      <c r="B114">
        <v>11623441</v>
      </c>
      <c r="C114" t="s">
        <v>14</v>
      </c>
      <c r="D114" t="s">
        <v>15</v>
      </c>
      <c r="E114" t="s">
        <v>16</v>
      </c>
      <c r="F114">
        <v>113</v>
      </c>
      <c r="G114" t="s">
        <v>140</v>
      </c>
      <c r="H114" t="s">
        <v>140</v>
      </c>
      <c r="I114" t="s">
        <v>24</v>
      </c>
      <c r="J114" t="s">
        <v>25</v>
      </c>
      <c r="K114" t="s">
        <v>20</v>
      </c>
      <c r="L114" t="s">
        <v>26</v>
      </c>
      <c r="M114" t="s">
        <v>22</v>
      </c>
    </row>
    <row r="115" spans="1:13">
      <c r="A115" t="s">
        <v>13</v>
      </c>
      <c r="B115">
        <v>11623441</v>
      </c>
      <c r="C115" t="s">
        <v>14</v>
      </c>
      <c r="D115" t="s">
        <v>15</v>
      </c>
      <c r="E115" t="s">
        <v>16</v>
      </c>
      <c r="F115">
        <v>114</v>
      </c>
      <c r="G115" t="s">
        <v>141</v>
      </c>
      <c r="H115" t="s">
        <v>140</v>
      </c>
      <c r="I115" t="s">
        <v>28</v>
      </c>
      <c r="J115" t="s">
        <v>25</v>
      </c>
      <c r="K115" t="s">
        <v>20</v>
      </c>
      <c r="L115" t="s">
        <v>26</v>
      </c>
      <c r="M115" t="s">
        <v>22</v>
      </c>
    </row>
    <row r="116" spans="1:13">
      <c r="A116" t="s">
        <v>13</v>
      </c>
      <c r="B116">
        <v>11623441</v>
      </c>
      <c r="C116" t="s">
        <v>14</v>
      </c>
      <c r="D116" t="s">
        <v>15</v>
      </c>
      <c r="E116" t="s">
        <v>16</v>
      </c>
      <c r="F116">
        <v>115</v>
      </c>
      <c r="G116" t="s">
        <v>142</v>
      </c>
      <c r="H116" t="s">
        <v>140</v>
      </c>
      <c r="I116" t="s">
        <v>30</v>
      </c>
      <c r="J116" t="s">
        <v>25</v>
      </c>
      <c r="K116" t="s">
        <v>20</v>
      </c>
      <c r="L116" t="s">
        <v>26</v>
      </c>
      <c r="M116" t="s">
        <v>22</v>
      </c>
    </row>
    <row r="117" spans="1:13">
      <c r="A117" t="s">
        <v>13</v>
      </c>
      <c r="B117">
        <v>11623441</v>
      </c>
      <c r="C117" t="s">
        <v>14</v>
      </c>
      <c r="D117" t="s">
        <v>15</v>
      </c>
      <c r="E117" t="s">
        <v>16</v>
      </c>
      <c r="F117">
        <v>116</v>
      </c>
      <c r="G117" t="s">
        <v>143</v>
      </c>
      <c r="H117" t="s">
        <v>143</v>
      </c>
      <c r="I117" t="s">
        <v>24</v>
      </c>
      <c r="J117" t="s">
        <v>25</v>
      </c>
      <c r="K117" t="s">
        <v>20</v>
      </c>
      <c r="L117" t="s">
        <v>32</v>
      </c>
      <c r="M117" t="s">
        <v>22</v>
      </c>
    </row>
    <row r="118" spans="1:13">
      <c r="A118" t="s">
        <v>13</v>
      </c>
      <c r="B118">
        <v>11623441</v>
      </c>
      <c r="C118" t="s">
        <v>14</v>
      </c>
      <c r="D118" t="s">
        <v>15</v>
      </c>
      <c r="E118" t="s">
        <v>16</v>
      </c>
      <c r="F118">
        <v>117</v>
      </c>
      <c r="G118" t="s">
        <v>144</v>
      </c>
      <c r="H118" t="s">
        <v>143</v>
      </c>
      <c r="I118" t="s">
        <v>28</v>
      </c>
      <c r="J118" t="s">
        <v>25</v>
      </c>
      <c r="K118" t="s">
        <v>20</v>
      </c>
      <c r="L118" t="s">
        <v>32</v>
      </c>
      <c r="M118" t="s">
        <v>22</v>
      </c>
    </row>
    <row r="119" spans="1:13">
      <c r="A119" t="s">
        <v>13</v>
      </c>
      <c r="B119">
        <v>11623441</v>
      </c>
      <c r="C119" t="s">
        <v>14</v>
      </c>
      <c r="D119" t="s">
        <v>15</v>
      </c>
      <c r="E119" t="s">
        <v>16</v>
      </c>
      <c r="F119">
        <v>118</v>
      </c>
      <c r="G119" t="s">
        <v>145</v>
      </c>
      <c r="H119" t="s">
        <v>143</v>
      </c>
      <c r="I119" t="s">
        <v>30</v>
      </c>
      <c r="J119" t="s">
        <v>25</v>
      </c>
      <c r="K119" t="s">
        <v>20</v>
      </c>
      <c r="L119" t="s">
        <v>32</v>
      </c>
      <c r="M119" t="s">
        <v>22</v>
      </c>
    </row>
    <row r="120" spans="1:13">
      <c r="A120" t="s">
        <v>13</v>
      </c>
      <c r="B120">
        <v>11623441</v>
      </c>
      <c r="C120" t="s">
        <v>14</v>
      </c>
      <c r="D120" t="s">
        <v>15</v>
      </c>
      <c r="E120" t="s">
        <v>16</v>
      </c>
      <c r="F120">
        <v>119</v>
      </c>
      <c r="G120" t="s">
        <v>146</v>
      </c>
      <c r="H120" t="s">
        <v>146</v>
      </c>
      <c r="I120" t="s">
        <v>24</v>
      </c>
      <c r="J120" t="s">
        <v>25</v>
      </c>
      <c r="K120" t="s">
        <v>20</v>
      </c>
      <c r="L120" t="s">
        <v>32</v>
      </c>
      <c r="M120" t="s">
        <v>22</v>
      </c>
    </row>
    <row r="121" spans="1:13">
      <c r="A121" t="s">
        <v>13</v>
      </c>
      <c r="B121">
        <v>11623441</v>
      </c>
      <c r="C121" t="s">
        <v>14</v>
      </c>
      <c r="D121" t="s">
        <v>15</v>
      </c>
      <c r="E121" t="s">
        <v>16</v>
      </c>
      <c r="F121">
        <v>120</v>
      </c>
      <c r="G121" t="s">
        <v>147</v>
      </c>
      <c r="H121" t="s">
        <v>146</v>
      </c>
      <c r="I121" t="s">
        <v>28</v>
      </c>
      <c r="J121" t="s">
        <v>25</v>
      </c>
      <c r="K121" t="s">
        <v>20</v>
      </c>
      <c r="L121" t="s">
        <v>32</v>
      </c>
      <c r="M121" t="s">
        <v>22</v>
      </c>
    </row>
    <row r="122" spans="1:13">
      <c r="A122" t="s">
        <v>13</v>
      </c>
      <c r="B122">
        <v>11623441</v>
      </c>
      <c r="C122" t="s">
        <v>14</v>
      </c>
      <c r="D122" t="s">
        <v>15</v>
      </c>
      <c r="E122" t="s">
        <v>16</v>
      </c>
      <c r="F122">
        <v>121</v>
      </c>
      <c r="G122" t="s">
        <v>148</v>
      </c>
      <c r="H122" t="s">
        <v>146</v>
      </c>
      <c r="I122" t="s">
        <v>30</v>
      </c>
      <c r="J122" t="s">
        <v>25</v>
      </c>
      <c r="K122" t="s">
        <v>20</v>
      </c>
      <c r="L122" t="s">
        <v>32</v>
      </c>
      <c r="M122" t="s">
        <v>22</v>
      </c>
    </row>
    <row r="123" spans="1:13">
      <c r="A123" t="s">
        <v>13</v>
      </c>
      <c r="B123">
        <v>11623441</v>
      </c>
      <c r="C123" t="s">
        <v>14</v>
      </c>
      <c r="D123" t="s">
        <v>15</v>
      </c>
      <c r="E123" t="s">
        <v>16</v>
      </c>
      <c r="F123">
        <v>122</v>
      </c>
      <c r="G123" t="s">
        <v>149</v>
      </c>
      <c r="H123" t="s">
        <v>149</v>
      </c>
      <c r="I123" t="s">
        <v>24</v>
      </c>
      <c r="J123" t="s">
        <v>25</v>
      </c>
      <c r="K123" t="s">
        <v>20</v>
      </c>
      <c r="L123" t="s">
        <v>26</v>
      </c>
      <c r="M123" t="s">
        <v>22</v>
      </c>
    </row>
    <row r="124" spans="1:13">
      <c r="A124" t="s">
        <v>13</v>
      </c>
      <c r="B124">
        <v>11623441</v>
      </c>
      <c r="C124" t="s">
        <v>14</v>
      </c>
      <c r="D124" t="s">
        <v>15</v>
      </c>
      <c r="E124" t="s">
        <v>16</v>
      </c>
      <c r="F124">
        <v>123</v>
      </c>
      <c r="G124" t="s">
        <v>150</v>
      </c>
      <c r="H124" t="s">
        <v>149</v>
      </c>
      <c r="I124" t="s">
        <v>28</v>
      </c>
      <c r="J124" t="s">
        <v>25</v>
      </c>
      <c r="K124" t="s">
        <v>20</v>
      </c>
      <c r="L124" t="s">
        <v>26</v>
      </c>
      <c r="M124" t="s">
        <v>22</v>
      </c>
    </row>
    <row r="125" spans="1:13">
      <c r="A125" t="s">
        <v>13</v>
      </c>
      <c r="B125">
        <v>11623441</v>
      </c>
      <c r="C125" t="s">
        <v>14</v>
      </c>
      <c r="D125" t="s">
        <v>15</v>
      </c>
      <c r="E125" t="s">
        <v>16</v>
      </c>
      <c r="F125">
        <v>124</v>
      </c>
      <c r="G125" t="s">
        <v>151</v>
      </c>
      <c r="H125" t="s">
        <v>149</v>
      </c>
      <c r="I125" t="s">
        <v>30</v>
      </c>
      <c r="J125" t="s">
        <v>25</v>
      </c>
      <c r="K125" t="s">
        <v>20</v>
      </c>
      <c r="L125" t="s">
        <v>26</v>
      </c>
      <c r="M125" t="s">
        <v>22</v>
      </c>
    </row>
    <row r="126" spans="1:13">
      <c r="A126" t="s">
        <v>13</v>
      </c>
      <c r="B126">
        <v>11623441</v>
      </c>
      <c r="C126" t="s">
        <v>14</v>
      </c>
      <c r="D126" t="s">
        <v>15</v>
      </c>
      <c r="E126" t="s">
        <v>16</v>
      </c>
      <c r="F126">
        <v>125</v>
      </c>
      <c r="G126" t="s">
        <v>152</v>
      </c>
      <c r="H126" t="s">
        <v>152</v>
      </c>
      <c r="I126" t="s">
        <v>24</v>
      </c>
      <c r="J126" t="s">
        <v>25</v>
      </c>
      <c r="K126" t="s">
        <v>20</v>
      </c>
      <c r="L126" t="s">
        <v>32</v>
      </c>
      <c r="M126" t="s">
        <v>22</v>
      </c>
    </row>
    <row r="127" spans="1:13">
      <c r="A127" t="s">
        <v>13</v>
      </c>
      <c r="B127">
        <v>11623441</v>
      </c>
      <c r="C127" t="s">
        <v>14</v>
      </c>
      <c r="D127" t="s">
        <v>15</v>
      </c>
      <c r="E127" t="s">
        <v>16</v>
      </c>
      <c r="F127">
        <v>126</v>
      </c>
      <c r="G127" t="s">
        <v>153</v>
      </c>
      <c r="H127" t="s">
        <v>152</v>
      </c>
      <c r="I127" t="s">
        <v>28</v>
      </c>
      <c r="J127" t="s">
        <v>25</v>
      </c>
      <c r="K127" t="s">
        <v>20</v>
      </c>
      <c r="L127" t="s">
        <v>32</v>
      </c>
      <c r="M127" t="s">
        <v>22</v>
      </c>
    </row>
    <row r="128" spans="1:13">
      <c r="A128" t="s">
        <v>13</v>
      </c>
      <c r="B128">
        <v>11623441</v>
      </c>
      <c r="C128" t="s">
        <v>14</v>
      </c>
      <c r="D128" t="s">
        <v>15</v>
      </c>
      <c r="E128" t="s">
        <v>16</v>
      </c>
      <c r="F128">
        <v>127</v>
      </c>
      <c r="G128" t="s">
        <v>154</v>
      </c>
      <c r="H128" t="s">
        <v>152</v>
      </c>
      <c r="I128" t="s">
        <v>30</v>
      </c>
      <c r="J128" t="s">
        <v>25</v>
      </c>
      <c r="K128" t="s">
        <v>20</v>
      </c>
      <c r="L128" t="s">
        <v>32</v>
      </c>
      <c r="M128" t="s">
        <v>22</v>
      </c>
    </row>
    <row r="129" spans="1:13">
      <c r="A129" t="s">
        <v>13</v>
      </c>
      <c r="B129">
        <v>11623441</v>
      </c>
      <c r="C129" t="s">
        <v>14</v>
      </c>
      <c r="D129" t="s">
        <v>15</v>
      </c>
      <c r="E129" t="s">
        <v>16</v>
      </c>
      <c r="F129">
        <v>128</v>
      </c>
      <c r="G129" t="s">
        <v>155</v>
      </c>
      <c r="H129" t="s">
        <v>155</v>
      </c>
      <c r="I129" t="s">
        <v>24</v>
      </c>
      <c r="J129" t="s">
        <v>25</v>
      </c>
      <c r="K129" t="s">
        <v>20</v>
      </c>
      <c r="L129" t="s">
        <v>32</v>
      </c>
      <c r="M129" t="s">
        <v>22</v>
      </c>
    </row>
    <row r="130" spans="1:13">
      <c r="A130" t="s">
        <v>13</v>
      </c>
      <c r="B130">
        <v>11623441</v>
      </c>
      <c r="C130" t="s">
        <v>14</v>
      </c>
      <c r="D130" t="s">
        <v>15</v>
      </c>
      <c r="E130" t="s">
        <v>16</v>
      </c>
      <c r="F130">
        <v>129</v>
      </c>
      <c r="G130" t="s">
        <v>156</v>
      </c>
      <c r="H130" t="s">
        <v>155</v>
      </c>
      <c r="I130" t="s">
        <v>28</v>
      </c>
      <c r="J130" t="s">
        <v>25</v>
      </c>
      <c r="K130" t="s">
        <v>20</v>
      </c>
      <c r="L130" t="s">
        <v>32</v>
      </c>
      <c r="M130" t="s">
        <v>22</v>
      </c>
    </row>
    <row r="131" spans="1:13">
      <c r="A131" t="s">
        <v>13</v>
      </c>
      <c r="B131">
        <v>11623441</v>
      </c>
      <c r="C131" t="s">
        <v>14</v>
      </c>
      <c r="D131" t="s">
        <v>15</v>
      </c>
      <c r="E131" t="s">
        <v>16</v>
      </c>
      <c r="F131">
        <v>130</v>
      </c>
      <c r="G131" t="s">
        <v>157</v>
      </c>
      <c r="H131" t="s">
        <v>155</v>
      </c>
      <c r="I131" t="s">
        <v>30</v>
      </c>
      <c r="J131" t="s">
        <v>25</v>
      </c>
      <c r="K131" t="s">
        <v>20</v>
      </c>
      <c r="L131" t="s">
        <v>32</v>
      </c>
      <c r="M131" t="s">
        <v>22</v>
      </c>
    </row>
    <row r="132" spans="1:13">
      <c r="A132" t="s">
        <v>13</v>
      </c>
      <c r="B132">
        <v>11623441</v>
      </c>
      <c r="C132" t="s">
        <v>158</v>
      </c>
      <c r="D132" t="s">
        <v>15</v>
      </c>
      <c r="E132" t="s">
        <v>16</v>
      </c>
      <c r="F132">
        <v>1</v>
      </c>
      <c r="G132" t="s">
        <v>17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  <c r="M132" t="s">
        <v>159</v>
      </c>
    </row>
    <row r="133" spans="1:13">
      <c r="A133" t="s">
        <v>13</v>
      </c>
      <c r="B133">
        <v>11623441</v>
      </c>
      <c r="C133" t="s">
        <v>158</v>
      </c>
      <c r="D133" t="s">
        <v>15</v>
      </c>
      <c r="E133" t="s">
        <v>16</v>
      </c>
      <c r="F133">
        <v>2</v>
      </c>
      <c r="G133" t="s">
        <v>50</v>
      </c>
      <c r="H133" t="s">
        <v>50</v>
      </c>
      <c r="I133" t="s">
        <v>24</v>
      </c>
      <c r="J133" t="s">
        <v>25</v>
      </c>
      <c r="K133" t="s">
        <v>20</v>
      </c>
      <c r="L133" t="s">
        <v>32</v>
      </c>
      <c r="M133" t="s">
        <v>159</v>
      </c>
    </row>
    <row r="134" spans="1:13">
      <c r="A134" t="s">
        <v>13</v>
      </c>
      <c r="B134">
        <v>11623441</v>
      </c>
      <c r="C134" t="s">
        <v>158</v>
      </c>
      <c r="D134" t="s">
        <v>15</v>
      </c>
      <c r="E134" t="s">
        <v>16</v>
      </c>
      <c r="F134">
        <v>3</v>
      </c>
      <c r="G134" t="s">
        <v>51</v>
      </c>
      <c r="H134" t="s">
        <v>50</v>
      </c>
      <c r="I134" t="s">
        <v>28</v>
      </c>
      <c r="J134" t="s">
        <v>25</v>
      </c>
      <c r="K134" t="s">
        <v>20</v>
      </c>
      <c r="L134" t="s">
        <v>32</v>
      </c>
      <c r="M134" t="s">
        <v>159</v>
      </c>
    </row>
    <row r="135" spans="1:13">
      <c r="A135" t="s">
        <v>13</v>
      </c>
      <c r="B135">
        <v>11623441</v>
      </c>
      <c r="C135" t="s">
        <v>158</v>
      </c>
      <c r="D135" t="s">
        <v>15</v>
      </c>
      <c r="E135" t="s">
        <v>16</v>
      </c>
      <c r="F135">
        <v>4</v>
      </c>
      <c r="G135" t="s">
        <v>52</v>
      </c>
      <c r="H135" t="s">
        <v>50</v>
      </c>
      <c r="I135" t="s">
        <v>30</v>
      </c>
      <c r="J135" t="s">
        <v>25</v>
      </c>
      <c r="K135" t="s">
        <v>20</v>
      </c>
      <c r="L135" t="s">
        <v>32</v>
      </c>
      <c r="M135" t="s">
        <v>159</v>
      </c>
    </row>
    <row r="136" spans="1:13">
      <c r="A136" t="s">
        <v>13</v>
      </c>
      <c r="B136">
        <v>11623441</v>
      </c>
      <c r="C136" t="s">
        <v>158</v>
      </c>
      <c r="D136" t="s">
        <v>15</v>
      </c>
      <c r="E136" t="s">
        <v>16</v>
      </c>
      <c r="F136">
        <v>5</v>
      </c>
      <c r="G136" t="s">
        <v>47</v>
      </c>
      <c r="H136" t="s">
        <v>47</v>
      </c>
      <c r="I136" t="s">
        <v>24</v>
      </c>
      <c r="J136" t="s">
        <v>25</v>
      </c>
      <c r="K136" t="s">
        <v>20</v>
      </c>
      <c r="L136" t="s">
        <v>32</v>
      </c>
      <c r="M136" t="s">
        <v>159</v>
      </c>
    </row>
    <row r="137" spans="1:13">
      <c r="A137" t="s">
        <v>13</v>
      </c>
      <c r="B137">
        <v>11623441</v>
      </c>
      <c r="C137" t="s">
        <v>158</v>
      </c>
      <c r="D137" t="s">
        <v>15</v>
      </c>
      <c r="E137" t="s">
        <v>16</v>
      </c>
      <c r="F137">
        <v>6</v>
      </c>
      <c r="G137" t="s">
        <v>48</v>
      </c>
      <c r="H137" t="s">
        <v>47</v>
      </c>
      <c r="I137" t="s">
        <v>28</v>
      </c>
      <c r="J137" t="s">
        <v>25</v>
      </c>
      <c r="K137" t="s">
        <v>20</v>
      </c>
      <c r="L137" t="s">
        <v>32</v>
      </c>
      <c r="M137" t="s">
        <v>159</v>
      </c>
    </row>
    <row r="138" spans="1:13">
      <c r="A138" t="s">
        <v>13</v>
      </c>
      <c r="B138">
        <v>11623441</v>
      </c>
      <c r="C138" t="s">
        <v>158</v>
      </c>
      <c r="D138" t="s">
        <v>15</v>
      </c>
      <c r="E138" t="s">
        <v>16</v>
      </c>
      <c r="F138">
        <v>7</v>
      </c>
      <c r="G138" t="s">
        <v>49</v>
      </c>
      <c r="H138" t="s">
        <v>47</v>
      </c>
      <c r="I138" t="s">
        <v>30</v>
      </c>
      <c r="J138" t="s">
        <v>25</v>
      </c>
      <c r="K138" t="s">
        <v>20</v>
      </c>
      <c r="L138" t="s">
        <v>32</v>
      </c>
      <c r="M138" t="s">
        <v>159</v>
      </c>
    </row>
    <row r="139" spans="1:13">
      <c r="A139" t="s">
        <v>13</v>
      </c>
      <c r="B139">
        <v>11623441</v>
      </c>
      <c r="C139" t="s">
        <v>158</v>
      </c>
      <c r="D139" t="s">
        <v>15</v>
      </c>
      <c r="E139" t="s">
        <v>16</v>
      </c>
      <c r="F139">
        <v>8</v>
      </c>
      <c r="G139" t="s">
        <v>53</v>
      </c>
      <c r="H139" t="s">
        <v>53</v>
      </c>
      <c r="I139" t="s">
        <v>24</v>
      </c>
      <c r="J139" t="s">
        <v>25</v>
      </c>
      <c r="K139" t="s">
        <v>20</v>
      </c>
      <c r="L139" t="s">
        <v>26</v>
      </c>
      <c r="M139" t="s">
        <v>159</v>
      </c>
    </row>
    <row r="140" spans="1:13">
      <c r="A140" t="s">
        <v>13</v>
      </c>
      <c r="B140">
        <v>11623441</v>
      </c>
      <c r="C140" t="s">
        <v>158</v>
      </c>
      <c r="D140" t="s">
        <v>15</v>
      </c>
      <c r="E140" t="s">
        <v>16</v>
      </c>
      <c r="F140">
        <v>9</v>
      </c>
      <c r="G140" t="s">
        <v>54</v>
      </c>
      <c r="H140" t="s">
        <v>53</v>
      </c>
      <c r="I140" t="s">
        <v>28</v>
      </c>
      <c r="J140" t="s">
        <v>25</v>
      </c>
      <c r="K140" t="s">
        <v>20</v>
      </c>
      <c r="L140" t="s">
        <v>26</v>
      </c>
      <c r="M140" t="s">
        <v>159</v>
      </c>
    </row>
    <row r="141" spans="1:13">
      <c r="A141" t="s">
        <v>13</v>
      </c>
      <c r="B141">
        <v>11623441</v>
      </c>
      <c r="C141" t="s">
        <v>158</v>
      </c>
      <c r="D141" t="s">
        <v>15</v>
      </c>
      <c r="E141" t="s">
        <v>16</v>
      </c>
      <c r="F141">
        <v>10</v>
      </c>
      <c r="G141" t="s">
        <v>55</v>
      </c>
      <c r="H141" t="s">
        <v>53</v>
      </c>
      <c r="I141" t="s">
        <v>30</v>
      </c>
      <c r="J141" t="s">
        <v>25</v>
      </c>
      <c r="K141" t="s">
        <v>20</v>
      </c>
      <c r="L141" t="s">
        <v>26</v>
      </c>
      <c r="M141" t="s">
        <v>159</v>
      </c>
    </row>
    <row r="142" spans="1:13">
      <c r="A142" t="s">
        <v>13</v>
      </c>
      <c r="B142">
        <v>11623441</v>
      </c>
      <c r="C142" t="s">
        <v>158</v>
      </c>
      <c r="D142" t="s">
        <v>15</v>
      </c>
      <c r="E142" t="s">
        <v>16</v>
      </c>
      <c r="F142">
        <v>11</v>
      </c>
      <c r="G142" t="s">
        <v>80</v>
      </c>
      <c r="H142" t="s">
        <v>80</v>
      </c>
      <c r="I142" t="s">
        <v>24</v>
      </c>
      <c r="J142" t="s">
        <v>25</v>
      </c>
      <c r="K142" t="s">
        <v>20</v>
      </c>
      <c r="L142" t="s">
        <v>32</v>
      </c>
      <c r="M142" t="s">
        <v>159</v>
      </c>
    </row>
    <row r="143" spans="1:13">
      <c r="A143" t="s">
        <v>13</v>
      </c>
      <c r="B143">
        <v>11623441</v>
      </c>
      <c r="C143" t="s">
        <v>158</v>
      </c>
      <c r="D143" t="s">
        <v>15</v>
      </c>
      <c r="E143" t="s">
        <v>16</v>
      </c>
      <c r="F143">
        <v>12</v>
      </c>
      <c r="G143" t="s">
        <v>81</v>
      </c>
      <c r="H143" t="s">
        <v>80</v>
      </c>
      <c r="I143" t="s">
        <v>28</v>
      </c>
      <c r="J143" t="s">
        <v>25</v>
      </c>
      <c r="K143" t="s">
        <v>20</v>
      </c>
      <c r="L143" t="s">
        <v>32</v>
      </c>
      <c r="M143" t="s">
        <v>159</v>
      </c>
    </row>
    <row r="144" spans="1:13">
      <c r="A144" t="s">
        <v>13</v>
      </c>
      <c r="B144">
        <v>11623441</v>
      </c>
      <c r="C144" t="s">
        <v>158</v>
      </c>
      <c r="D144" t="s">
        <v>15</v>
      </c>
      <c r="E144" t="s">
        <v>16</v>
      </c>
      <c r="F144">
        <v>13</v>
      </c>
      <c r="G144" t="s">
        <v>82</v>
      </c>
      <c r="H144" t="s">
        <v>80</v>
      </c>
      <c r="I144" t="s">
        <v>30</v>
      </c>
      <c r="J144" t="s">
        <v>25</v>
      </c>
      <c r="K144" t="s">
        <v>20</v>
      </c>
      <c r="L144" t="s">
        <v>32</v>
      </c>
      <c r="M144" t="s">
        <v>159</v>
      </c>
    </row>
    <row r="145" spans="1:13">
      <c r="A145" t="s">
        <v>13</v>
      </c>
      <c r="B145">
        <v>11623441</v>
      </c>
      <c r="C145" t="s">
        <v>158</v>
      </c>
      <c r="D145" t="s">
        <v>15</v>
      </c>
      <c r="E145" t="s">
        <v>16</v>
      </c>
      <c r="F145">
        <v>14</v>
      </c>
      <c r="G145" t="s">
        <v>77</v>
      </c>
      <c r="H145" t="s">
        <v>77</v>
      </c>
      <c r="I145" t="s">
        <v>24</v>
      </c>
      <c r="J145" t="s">
        <v>25</v>
      </c>
      <c r="K145" t="s">
        <v>20</v>
      </c>
      <c r="L145" t="s">
        <v>32</v>
      </c>
      <c r="M145" t="s">
        <v>159</v>
      </c>
    </row>
    <row r="146" spans="1:13">
      <c r="A146" t="s">
        <v>13</v>
      </c>
      <c r="B146">
        <v>11623441</v>
      </c>
      <c r="C146" t="s">
        <v>158</v>
      </c>
      <c r="D146" t="s">
        <v>15</v>
      </c>
      <c r="E146" t="s">
        <v>16</v>
      </c>
      <c r="F146">
        <v>15</v>
      </c>
      <c r="G146" t="s">
        <v>78</v>
      </c>
      <c r="H146" t="s">
        <v>77</v>
      </c>
      <c r="I146" t="s">
        <v>28</v>
      </c>
      <c r="J146" t="s">
        <v>25</v>
      </c>
      <c r="K146" t="s">
        <v>20</v>
      </c>
      <c r="L146" t="s">
        <v>32</v>
      </c>
      <c r="M146" t="s">
        <v>159</v>
      </c>
    </row>
    <row r="147" spans="1:13">
      <c r="A147" t="s">
        <v>13</v>
      </c>
      <c r="B147">
        <v>11623441</v>
      </c>
      <c r="C147" t="s">
        <v>158</v>
      </c>
      <c r="D147" t="s">
        <v>15</v>
      </c>
      <c r="E147" t="s">
        <v>16</v>
      </c>
      <c r="F147">
        <v>16</v>
      </c>
      <c r="G147" t="s">
        <v>79</v>
      </c>
      <c r="H147" t="s">
        <v>77</v>
      </c>
      <c r="I147" t="s">
        <v>30</v>
      </c>
      <c r="J147" t="s">
        <v>25</v>
      </c>
      <c r="K147" t="s">
        <v>20</v>
      </c>
      <c r="L147" t="s">
        <v>32</v>
      </c>
      <c r="M147" t="s">
        <v>159</v>
      </c>
    </row>
    <row r="148" spans="1:13">
      <c r="A148" t="s">
        <v>13</v>
      </c>
      <c r="B148">
        <v>11623441</v>
      </c>
      <c r="C148" t="s">
        <v>158</v>
      </c>
      <c r="D148" t="s">
        <v>15</v>
      </c>
      <c r="E148" t="s">
        <v>16</v>
      </c>
      <c r="F148">
        <v>17</v>
      </c>
      <c r="G148" t="s">
        <v>83</v>
      </c>
      <c r="H148" t="s">
        <v>83</v>
      </c>
      <c r="I148" t="s">
        <v>24</v>
      </c>
      <c r="J148" t="s">
        <v>25</v>
      </c>
      <c r="K148" t="s">
        <v>20</v>
      </c>
      <c r="L148" t="s">
        <v>32</v>
      </c>
      <c r="M148" t="s">
        <v>159</v>
      </c>
    </row>
    <row r="149" spans="1:13">
      <c r="A149" t="s">
        <v>13</v>
      </c>
      <c r="B149">
        <v>11623441</v>
      </c>
      <c r="C149" t="s">
        <v>158</v>
      </c>
      <c r="D149" t="s">
        <v>15</v>
      </c>
      <c r="E149" t="s">
        <v>16</v>
      </c>
      <c r="F149">
        <v>18</v>
      </c>
      <c r="G149" t="s">
        <v>84</v>
      </c>
      <c r="H149" t="s">
        <v>83</v>
      </c>
      <c r="I149" t="s">
        <v>28</v>
      </c>
      <c r="J149" t="s">
        <v>25</v>
      </c>
      <c r="K149" t="s">
        <v>20</v>
      </c>
      <c r="L149" t="s">
        <v>32</v>
      </c>
      <c r="M149" t="s">
        <v>159</v>
      </c>
    </row>
    <row r="150" spans="1:13">
      <c r="A150" t="s">
        <v>13</v>
      </c>
      <c r="B150">
        <v>11623441</v>
      </c>
      <c r="C150" t="s">
        <v>158</v>
      </c>
      <c r="D150" t="s">
        <v>15</v>
      </c>
      <c r="E150" t="s">
        <v>16</v>
      </c>
      <c r="F150">
        <v>19</v>
      </c>
      <c r="G150" t="s">
        <v>85</v>
      </c>
      <c r="H150" t="s">
        <v>83</v>
      </c>
      <c r="I150" t="s">
        <v>30</v>
      </c>
      <c r="J150" t="s">
        <v>25</v>
      </c>
      <c r="K150" t="s">
        <v>20</v>
      </c>
      <c r="L150" t="s">
        <v>32</v>
      </c>
      <c r="M150" t="s">
        <v>159</v>
      </c>
    </row>
    <row r="151" spans="1:13">
      <c r="A151" t="s">
        <v>13</v>
      </c>
      <c r="B151">
        <v>11623441</v>
      </c>
      <c r="C151" t="s">
        <v>158</v>
      </c>
      <c r="D151" t="s">
        <v>15</v>
      </c>
      <c r="E151" t="s">
        <v>16</v>
      </c>
      <c r="F151">
        <v>20</v>
      </c>
      <c r="G151" t="s">
        <v>160</v>
      </c>
      <c r="H151" t="s">
        <v>160</v>
      </c>
      <c r="I151" t="s">
        <v>24</v>
      </c>
      <c r="J151" t="s">
        <v>25</v>
      </c>
      <c r="K151" t="s">
        <v>20</v>
      </c>
      <c r="L151" t="s">
        <v>26</v>
      </c>
      <c r="M151" t="s">
        <v>159</v>
      </c>
    </row>
    <row r="152" spans="1:13">
      <c r="A152" t="s">
        <v>13</v>
      </c>
      <c r="B152">
        <v>11623441</v>
      </c>
      <c r="C152" t="s">
        <v>158</v>
      </c>
      <c r="D152" t="s">
        <v>15</v>
      </c>
      <c r="E152" t="s">
        <v>16</v>
      </c>
      <c r="F152">
        <v>21</v>
      </c>
      <c r="G152" t="s">
        <v>161</v>
      </c>
      <c r="H152" t="s">
        <v>160</v>
      </c>
      <c r="I152" t="s">
        <v>28</v>
      </c>
      <c r="J152" t="s">
        <v>25</v>
      </c>
      <c r="K152" t="s">
        <v>20</v>
      </c>
      <c r="L152" t="s">
        <v>26</v>
      </c>
      <c r="M152" t="s">
        <v>159</v>
      </c>
    </row>
    <row r="153" spans="1:13">
      <c r="A153" t="s">
        <v>13</v>
      </c>
      <c r="B153">
        <v>11623441</v>
      </c>
      <c r="C153" t="s">
        <v>158</v>
      </c>
      <c r="D153" t="s">
        <v>15</v>
      </c>
      <c r="E153" t="s">
        <v>16</v>
      </c>
      <c r="F153">
        <v>22</v>
      </c>
      <c r="G153" t="s">
        <v>162</v>
      </c>
      <c r="H153" t="s">
        <v>160</v>
      </c>
      <c r="I153" t="s">
        <v>30</v>
      </c>
      <c r="J153" t="s">
        <v>25</v>
      </c>
      <c r="K153" t="s">
        <v>20</v>
      </c>
      <c r="L153" t="s">
        <v>26</v>
      </c>
      <c r="M153" t="s">
        <v>159</v>
      </c>
    </row>
    <row r="154" spans="1:13">
      <c r="A154" t="s">
        <v>13</v>
      </c>
      <c r="B154">
        <v>11623441</v>
      </c>
      <c r="C154" t="s">
        <v>158</v>
      </c>
      <c r="D154" t="s">
        <v>15</v>
      </c>
      <c r="E154" t="s">
        <v>16</v>
      </c>
      <c r="F154">
        <v>23</v>
      </c>
      <c r="G154" t="s">
        <v>71</v>
      </c>
      <c r="H154" t="s">
        <v>71</v>
      </c>
      <c r="I154" t="s">
        <v>24</v>
      </c>
      <c r="J154" t="s">
        <v>25</v>
      </c>
      <c r="K154" t="s">
        <v>20</v>
      </c>
      <c r="L154" t="s">
        <v>26</v>
      </c>
      <c r="M154" t="s">
        <v>159</v>
      </c>
    </row>
    <row r="155" spans="1:13">
      <c r="A155" t="s">
        <v>13</v>
      </c>
      <c r="B155">
        <v>11623441</v>
      </c>
      <c r="C155" t="s">
        <v>158</v>
      </c>
      <c r="D155" t="s">
        <v>15</v>
      </c>
      <c r="E155" t="s">
        <v>16</v>
      </c>
      <c r="F155">
        <v>24</v>
      </c>
      <c r="G155" t="s">
        <v>72</v>
      </c>
      <c r="H155" t="s">
        <v>71</v>
      </c>
      <c r="I155" t="s">
        <v>28</v>
      </c>
      <c r="J155" t="s">
        <v>25</v>
      </c>
      <c r="K155" t="s">
        <v>20</v>
      </c>
      <c r="L155" t="s">
        <v>26</v>
      </c>
      <c r="M155" t="s">
        <v>159</v>
      </c>
    </row>
    <row r="156" spans="1:13">
      <c r="A156" t="s">
        <v>13</v>
      </c>
      <c r="B156">
        <v>11623441</v>
      </c>
      <c r="C156" t="s">
        <v>158</v>
      </c>
      <c r="D156" t="s">
        <v>15</v>
      </c>
      <c r="E156" t="s">
        <v>16</v>
      </c>
      <c r="F156">
        <v>25</v>
      </c>
      <c r="G156" t="s">
        <v>73</v>
      </c>
      <c r="H156" t="s">
        <v>71</v>
      </c>
      <c r="I156" t="s">
        <v>30</v>
      </c>
      <c r="J156" t="s">
        <v>25</v>
      </c>
      <c r="K156" t="s">
        <v>20</v>
      </c>
      <c r="L156" t="s">
        <v>26</v>
      </c>
      <c r="M156" t="s">
        <v>159</v>
      </c>
    </row>
    <row r="157" spans="1:13">
      <c r="A157" t="s">
        <v>13</v>
      </c>
      <c r="B157">
        <v>11623441</v>
      </c>
      <c r="C157" t="s">
        <v>158</v>
      </c>
      <c r="D157" t="s">
        <v>15</v>
      </c>
      <c r="E157" t="s">
        <v>16</v>
      </c>
      <c r="F157">
        <v>26</v>
      </c>
      <c r="G157" t="s">
        <v>44</v>
      </c>
      <c r="H157" t="s">
        <v>44</v>
      </c>
      <c r="I157" t="s">
        <v>24</v>
      </c>
      <c r="J157" t="s">
        <v>25</v>
      </c>
      <c r="K157" t="s">
        <v>20</v>
      </c>
      <c r="L157" t="s">
        <v>26</v>
      </c>
      <c r="M157" t="s">
        <v>159</v>
      </c>
    </row>
    <row r="158" spans="1:13">
      <c r="A158" t="s">
        <v>13</v>
      </c>
      <c r="B158">
        <v>11623441</v>
      </c>
      <c r="C158" t="s">
        <v>158</v>
      </c>
      <c r="D158" t="s">
        <v>15</v>
      </c>
      <c r="E158" t="s">
        <v>16</v>
      </c>
      <c r="F158">
        <v>27</v>
      </c>
      <c r="G158" t="s">
        <v>45</v>
      </c>
      <c r="H158" t="s">
        <v>44</v>
      </c>
      <c r="I158" t="s">
        <v>28</v>
      </c>
      <c r="J158" t="s">
        <v>25</v>
      </c>
      <c r="K158" t="s">
        <v>20</v>
      </c>
      <c r="L158" t="s">
        <v>26</v>
      </c>
      <c r="M158" t="s">
        <v>159</v>
      </c>
    </row>
    <row r="159" spans="1:13">
      <c r="A159" t="s">
        <v>13</v>
      </c>
      <c r="B159">
        <v>11623441</v>
      </c>
      <c r="C159" t="s">
        <v>158</v>
      </c>
      <c r="D159" t="s">
        <v>15</v>
      </c>
      <c r="E159" t="s">
        <v>16</v>
      </c>
      <c r="F159">
        <v>28</v>
      </c>
      <c r="G159" t="s">
        <v>46</v>
      </c>
      <c r="H159" t="s">
        <v>44</v>
      </c>
      <c r="I159" t="s">
        <v>30</v>
      </c>
      <c r="J159" t="s">
        <v>25</v>
      </c>
      <c r="K159" t="s">
        <v>20</v>
      </c>
      <c r="L159" t="s">
        <v>26</v>
      </c>
      <c r="M159" t="s">
        <v>159</v>
      </c>
    </row>
    <row r="160" spans="1:13">
      <c r="A160" t="s">
        <v>13</v>
      </c>
      <c r="B160">
        <v>11623441</v>
      </c>
      <c r="C160" t="s">
        <v>158</v>
      </c>
      <c r="D160" t="s">
        <v>15</v>
      </c>
      <c r="E160" t="s">
        <v>16</v>
      </c>
      <c r="F160">
        <v>29</v>
      </c>
      <c r="G160" t="s">
        <v>163</v>
      </c>
      <c r="H160" t="s">
        <v>163</v>
      </c>
      <c r="I160" t="s">
        <v>24</v>
      </c>
      <c r="J160" t="s">
        <v>25</v>
      </c>
      <c r="K160" t="s">
        <v>20</v>
      </c>
      <c r="L160" t="s">
        <v>32</v>
      </c>
      <c r="M160" t="s">
        <v>159</v>
      </c>
    </row>
    <row r="161" spans="1:13">
      <c r="A161" t="s">
        <v>13</v>
      </c>
      <c r="B161">
        <v>11623441</v>
      </c>
      <c r="C161" t="s">
        <v>158</v>
      </c>
      <c r="D161" t="s">
        <v>15</v>
      </c>
      <c r="E161" t="s">
        <v>16</v>
      </c>
      <c r="F161">
        <v>30</v>
      </c>
      <c r="G161" t="s">
        <v>164</v>
      </c>
      <c r="H161" t="s">
        <v>163</v>
      </c>
      <c r="I161" t="s">
        <v>28</v>
      </c>
      <c r="J161" t="s">
        <v>25</v>
      </c>
      <c r="K161" t="s">
        <v>20</v>
      </c>
      <c r="L161" t="s">
        <v>32</v>
      </c>
      <c r="M161" t="s">
        <v>159</v>
      </c>
    </row>
    <row r="162" spans="1:13">
      <c r="A162" t="s">
        <v>13</v>
      </c>
      <c r="B162">
        <v>11623441</v>
      </c>
      <c r="C162" t="s">
        <v>158</v>
      </c>
      <c r="D162" t="s">
        <v>15</v>
      </c>
      <c r="E162" t="s">
        <v>16</v>
      </c>
      <c r="F162">
        <v>31</v>
      </c>
      <c r="G162" t="s">
        <v>165</v>
      </c>
      <c r="H162" t="s">
        <v>163</v>
      </c>
      <c r="I162" t="s">
        <v>30</v>
      </c>
      <c r="J162" t="s">
        <v>25</v>
      </c>
      <c r="K162" t="s">
        <v>20</v>
      </c>
      <c r="L162" t="s">
        <v>32</v>
      </c>
      <c r="M162" t="s">
        <v>159</v>
      </c>
    </row>
    <row r="163" spans="1:13">
      <c r="A163" t="s">
        <v>13</v>
      </c>
      <c r="B163">
        <v>11623441</v>
      </c>
      <c r="C163" t="s">
        <v>158</v>
      </c>
      <c r="D163" t="s">
        <v>15</v>
      </c>
      <c r="E163" t="s">
        <v>16</v>
      </c>
      <c r="F163">
        <v>32</v>
      </c>
      <c r="G163" t="s">
        <v>166</v>
      </c>
      <c r="H163" t="s">
        <v>166</v>
      </c>
      <c r="I163" t="s">
        <v>24</v>
      </c>
      <c r="J163" t="s">
        <v>25</v>
      </c>
      <c r="K163" t="s">
        <v>20</v>
      </c>
      <c r="L163" t="s">
        <v>32</v>
      </c>
      <c r="M163" t="s">
        <v>159</v>
      </c>
    </row>
    <row r="164" spans="1:13">
      <c r="A164" t="s">
        <v>13</v>
      </c>
      <c r="B164">
        <v>11623441</v>
      </c>
      <c r="C164" t="s">
        <v>158</v>
      </c>
      <c r="D164" t="s">
        <v>15</v>
      </c>
      <c r="E164" t="s">
        <v>16</v>
      </c>
      <c r="F164">
        <v>33</v>
      </c>
      <c r="G164" t="s">
        <v>167</v>
      </c>
      <c r="H164" t="s">
        <v>166</v>
      </c>
      <c r="I164" t="s">
        <v>28</v>
      </c>
      <c r="J164" t="s">
        <v>25</v>
      </c>
      <c r="K164" t="s">
        <v>20</v>
      </c>
      <c r="L164" t="s">
        <v>32</v>
      </c>
      <c r="M164" t="s">
        <v>159</v>
      </c>
    </row>
    <row r="165" spans="1:13">
      <c r="A165" t="s">
        <v>13</v>
      </c>
      <c r="B165">
        <v>11623441</v>
      </c>
      <c r="C165" t="s">
        <v>158</v>
      </c>
      <c r="D165" t="s">
        <v>15</v>
      </c>
      <c r="E165" t="s">
        <v>16</v>
      </c>
      <c r="F165">
        <v>34</v>
      </c>
      <c r="G165" t="s">
        <v>168</v>
      </c>
      <c r="H165" t="s">
        <v>166</v>
      </c>
      <c r="I165" t="s">
        <v>30</v>
      </c>
      <c r="J165" t="s">
        <v>25</v>
      </c>
      <c r="K165" t="s">
        <v>20</v>
      </c>
      <c r="L165" t="s">
        <v>32</v>
      </c>
      <c r="M165" t="s">
        <v>159</v>
      </c>
    </row>
    <row r="166" spans="1:13">
      <c r="A166" t="s">
        <v>13</v>
      </c>
      <c r="B166">
        <v>11623441</v>
      </c>
      <c r="C166" t="s">
        <v>158</v>
      </c>
      <c r="D166" t="s">
        <v>15</v>
      </c>
      <c r="E166" t="s">
        <v>16</v>
      </c>
      <c r="F166">
        <v>35</v>
      </c>
      <c r="G166" t="s">
        <v>35</v>
      </c>
      <c r="H166" t="s">
        <v>35</v>
      </c>
      <c r="I166" t="s">
        <v>24</v>
      </c>
      <c r="J166" t="s">
        <v>25</v>
      </c>
      <c r="K166" t="s">
        <v>20</v>
      </c>
      <c r="L166" t="s">
        <v>32</v>
      </c>
      <c r="M166" t="s">
        <v>159</v>
      </c>
    </row>
    <row r="167" spans="1:13">
      <c r="A167" t="s">
        <v>13</v>
      </c>
      <c r="B167">
        <v>11623441</v>
      </c>
      <c r="C167" t="s">
        <v>158</v>
      </c>
      <c r="D167" t="s">
        <v>15</v>
      </c>
      <c r="E167" t="s">
        <v>16</v>
      </c>
      <c r="F167">
        <v>36</v>
      </c>
      <c r="G167" t="s">
        <v>36</v>
      </c>
      <c r="H167" t="s">
        <v>35</v>
      </c>
      <c r="I167" t="s">
        <v>28</v>
      </c>
      <c r="J167" t="s">
        <v>25</v>
      </c>
      <c r="K167" t="s">
        <v>20</v>
      </c>
      <c r="L167" t="s">
        <v>32</v>
      </c>
      <c r="M167" t="s">
        <v>159</v>
      </c>
    </row>
    <row r="168" spans="1:13">
      <c r="A168" t="s">
        <v>13</v>
      </c>
      <c r="B168">
        <v>11623441</v>
      </c>
      <c r="C168" t="s">
        <v>158</v>
      </c>
      <c r="D168" t="s">
        <v>15</v>
      </c>
      <c r="E168" t="s">
        <v>16</v>
      </c>
      <c r="F168">
        <v>37</v>
      </c>
      <c r="G168" t="s">
        <v>37</v>
      </c>
      <c r="H168" t="s">
        <v>35</v>
      </c>
      <c r="I168" t="s">
        <v>30</v>
      </c>
      <c r="J168" t="s">
        <v>25</v>
      </c>
      <c r="K168" t="s">
        <v>20</v>
      </c>
      <c r="L168" t="s">
        <v>32</v>
      </c>
      <c r="M168" t="s">
        <v>159</v>
      </c>
    </row>
    <row r="169" spans="1:13">
      <c r="A169" t="s">
        <v>13</v>
      </c>
      <c r="B169">
        <v>11623441</v>
      </c>
      <c r="C169" t="s">
        <v>158</v>
      </c>
      <c r="D169" t="s">
        <v>15</v>
      </c>
      <c r="E169" t="s">
        <v>16</v>
      </c>
      <c r="F169">
        <v>38</v>
      </c>
      <c r="G169" t="s">
        <v>56</v>
      </c>
      <c r="H169" t="s">
        <v>56</v>
      </c>
      <c r="I169" t="s">
        <v>24</v>
      </c>
      <c r="J169" t="s">
        <v>25</v>
      </c>
      <c r="K169" t="s">
        <v>20</v>
      </c>
      <c r="L169" t="s">
        <v>32</v>
      </c>
      <c r="M169" t="s">
        <v>159</v>
      </c>
    </row>
    <row r="170" spans="1:13">
      <c r="A170" t="s">
        <v>13</v>
      </c>
      <c r="B170">
        <v>11623441</v>
      </c>
      <c r="C170" t="s">
        <v>158</v>
      </c>
      <c r="D170" t="s">
        <v>15</v>
      </c>
      <c r="E170" t="s">
        <v>16</v>
      </c>
      <c r="F170">
        <v>39</v>
      </c>
      <c r="G170" t="s">
        <v>57</v>
      </c>
      <c r="H170" t="s">
        <v>56</v>
      </c>
      <c r="I170" t="s">
        <v>28</v>
      </c>
      <c r="J170" t="s">
        <v>25</v>
      </c>
      <c r="K170" t="s">
        <v>20</v>
      </c>
      <c r="L170" t="s">
        <v>32</v>
      </c>
      <c r="M170" t="s">
        <v>159</v>
      </c>
    </row>
    <row r="171" spans="1:13">
      <c r="A171" t="s">
        <v>13</v>
      </c>
      <c r="B171">
        <v>11623441</v>
      </c>
      <c r="C171" t="s">
        <v>158</v>
      </c>
      <c r="D171" t="s">
        <v>15</v>
      </c>
      <c r="E171" t="s">
        <v>16</v>
      </c>
      <c r="F171">
        <v>40</v>
      </c>
      <c r="G171" t="s">
        <v>58</v>
      </c>
      <c r="H171" t="s">
        <v>56</v>
      </c>
      <c r="I171" t="s">
        <v>30</v>
      </c>
      <c r="J171" t="s">
        <v>25</v>
      </c>
      <c r="K171" t="s">
        <v>20</v>
      </c>
      <c r="L171" t="s">
        <v>32</v>
      </c>
      <c r="M171" t="s">
        <v>159</v>
      </c>
    </row>
    <row r="172" spans="1:13">
      <c r="A172" t="s">
        <v>13</v>
      </c>
      <c r="B172">
        <v>11623441</v>
      </c>
      <c r="C172" t="s">
        <v>158</v>
      </c>
      <c r="D172" t="s">
        <v>15</v>
      </c>
      <c r="E172" t="s">
        <v>16</v>
      </c>
      <c r="F172">
        <v>41</v>
      </c>
      <c r="G172" t="s">
        <v>62</v>
      </c>
      <c r="H172" t="s">
        <v>62</v>
      </c>
      <c r="I172" t="s">
        <v>24</v>
      </c>
      <c r="J172" t="s">
        <v>25</v>
      </c>
      <c r="K172" t="s">
        <v>20</v>
      </c>
      <c r="L172" t="s">
        <v>26</v>
      </c>
      <c r="M172" t="s">
        <v>159</v>
      </c>
    </row>
    <row r="173" spans="1:13">
      <c r="A173" t="s">
        <v>13</v>
      </c>
      <c r="B173">
        <v>11623441</v>
      </c>
      <c r="C173" t="s">
        <v>158</v>
      </c>
      <c r="D173" t="s">
        <v>15</v>
      </c>
      <c r="E173" t="s">
        <v>16</v>
      </c>
      <c r="F173">
        <v>42</v>
      </c>
      <c r="G173" t="s">
        <v>63</v>
      </c>
      <c r="H173" t="s">
        <v>62</v>
      </c>
      <c r="I173" t="s">
        <v>28</v>
      </c>
      <c r="J173" t="s">
        <v>25</v>
      </c>
      <c r="K173" t="s">
        <v>20</v>
      </c>
      <c r="L173" t="s">
        <v>26</v>
      </c>
      <c r="M173" t="s">
        <v>159</v>
      </c>
    </row>
    <row r="174" spans="1:13">
      <c r="A174" t="s">
        <v>13</v>
      </c>
      <c r="B174">
        <v>11623441</v>
      </c>
      <c r="C174" t="s">
        <v>158</v>
      </c>
      <c r="D174" t="s">
        <v>15</v>
      </c>
      <c r="E174" t="s">
        <v>16</v>
      </c>
      <c r="F174">
        <v>43</v>
      </c>
      <c r="G174" t="s">
        <v>64</v>
      </c>
      <c r="H174" t="s">
        <v>62</v>
      </c>
      <c r="I174" t="s">
        <v>30</v>
      </c>
      <c r="J174" t="s">
        <v>25</v>
      </c>
      <c r="K174" t="s">
        <v>20</v>
      </c>
      <c r="L174" t="s">
        <v>26</v>
      </c>
      <c r="M174" t="s">
        <v>159</v>
      </c>
    </row>
    <row r="175" spans="1:13">
      <c r="A175" t="s">
        <v>13</v>
      </c>
      <c r="B175">
        <v>11623441</v>
      </c>
      <c r="C175" t="s">
        <v>158</v>
      </c>
      <c r="D175" t="s">
        <v>15</v>
      </c>
      <c r="E175" t="s">
        <v>16</v>
      </c>
      <c r="F175">
        <v>44</v>
      </c>
      <c r="G175" t="s">
        <v>169</v>
      </c>
      <c r="H175" t="s">
        <v>169</v>
      </c>
      <c r="I175" t="s">
        <v>24</v>
      </c>
      <c r="J175" t="s">
        <v>25</v>
      </c>
      <c r="K175" t="s">
        <v>20</v>
      </c>
      <c r="L175" t="s">
        <v>26</v>
      </c>
      <c r="M175" t="s">
        <v>159</v>
      </c>
    </row>
    <row r="176" spans="1:13">
      <c r="A176" t="s">
        <v>13</v>
      </c>
      <c r="B176">
        <v>11623441</v>
      </c>
      <c r="C176" t="s">
        <v>158</v>
      </c>
      <c r="D176" t="s">
        <v>15</v>
      </c>
      <c r="E176" t="s">
        <v>16</v>
      </c>
      <c r="F176">
        <v>45</v>
      </c>
      <c r="G176" t="s">
        <v>170</v>
      </c>
      <c r="H176" t="s">
        <v>169</v>
      </c>
      <c r="I176" t="s">
        <v>28</v>
      </c>
      <c r="J176" t="s">
        <v>25</v>
      </c>
      <c r="K176" t="s">
        <v>20</v>
      </c>
      <c r="L176" t="s">
        <v>26</v>
      </c>
      <c r="M176" t="s">
        <v>159</v>
      </c>
    </row>
    <row r="177" spans="1:13">
      <c r="A177" t="s">
        <v>13</v>
      </c>
      <c r="B177">
        <v>11623441</v>
      </c>
      <c r="C177" t="s">
        <v>158</v>
      </c>
      <c r="D177" t="s">
        <v>15</v>
      </c>
      <c r="E177" t="s">
        <v>16</v>
      </c>
      <c r="F177">
        <v>46</v>
      </c>
      <c r="G177" t="s">
        <v>171</v>
      </c>
      <c r="H177" t="s">
        <v>169</v>
      </c>
      <c r="I177" t="s">
        <v>30</v>
      </c>
      <c r="J177" t="s">
        <v>25</v>
      </c>
      <c r="K177" t="s">
        <v>20</v>
      </c>
      <c r="L177" t="s">
        <v>26</v>
      </c>
      <c r="M177" t="s">
        <v>159</v>
      </c>
    </row>
    <row r="178" spans="1:13">
      <c r="A178" t="s">
        <v>13</v>
      </c>
      <c r="B178">
        <v>11623441</v>
      </c>
      <c r="C178" t="s">
        <v>158</v>
      </c>
      <c r="D178" t="s">
        <v>15</v>
      </c>
      <c r="E178" t="s">
        <v>16</v>
      </c>
      <c r="F178">
        <v>47</v>
      </c>
      <c r="G178" t="s">
        <v>172</v>
      </c>
      <c r="H178" t="s">
        <v>172</v>
      </c>
      <c r="I178" t="s">
        <v>24</v>
      </c>
      <c r="J178" t="s">
        <v>25</v>
      </c>
      <c r="K178" t="s">
        <v>20</v>
      </c>
      <c r="L178" t="s">
        <v>26</v>
      </c>
      <c r="M178" t="s">
        <v>159</v>
      </c>
    </row>
    <row r="179" spans="1:13">
      <c r="A179" t="s">
        <v>13</v>
      </c>
      <c r="B179">
        <v>11623441</v>
      </c>
      <c r="C179" t="s">
        <v>158</v>
      </c>
      <c r="D179" t="s">
        <v>15</v>
      </c>
      <c r="E179" t="s">
        <v>16</v>
      </c>
      <c r="F179">
        <v>48</v>
      </c>
      <c r="G179" t="s">
        <v>173</v>
      </c>
      <c r="H179" t="s">
        <v>172</v>
      </c>
      <c r="I179" t="s">
        <v>28</v>
      </c>
      <c r="J179" t="s">
        <v>25</v>
      </c>
      <c r="K179" t="s">
        <v>20</v>
      </c>
      <c r="L179" t="s">
        <v>26</v>
      </c>
      <c r="M179" t="s">
        <v>159</v>
      </c>
    </row>
    <row r="180" spans="1:13">
      <c r="A180" t="s">
        <v>13</v>
      </c>
      <c r="B180">
        <v>11623441</v>
      </c>
      <c r="C180" t="s">
        <v>158</v>
      </c>
      <c r="D180" t="s">
        <v>15</v>
      </c>
      <c r="E180" t="s">
        <v>16</v>
      </c>
      <c r="F180">
        <v>49</v>
      </c>
      <c r="G180" t="s">
        <v>174</v>
      </c>
      <c r="H180" t="s">
        <v>172</v>
      </c>
      <c r="I180" t="s">
        <v>30</v>
      </c>
      <c r="J180" t="s">
        <v>25</v>
      </c>
      <c r="K180" t="s">
        <v>20</v>
      </c>
      <c r="L180" t="s">
        <v>26</v>
      </c>
      <c r="M180" t="s">
        <v>159</v>
      </c>
    </row>
    <row r="181" spans="1:13">
      <c r="A181" t="s">
        <v>13</v>
      </c>
      <c r="B181">
        <v>11623441</v>
      </c>
      <c r="C181" t="s">
        <v>158</v>
      </c>
      <c r="D181" t="s">
        <v>15</v>
      </c>
      <c r="E181" t="s">
        <v>16</v>
      </c>
      <c r="F181">
        <v>50</v>
      </c>
      <c r="G181" t="s">
        <v>31</v>
      </c>
      <c r="H181" t="s">
        <v>31</v>
      </c>
      <c r="I181" t="s">
        <v>24</v>
      </c>
      <c r="J181" t="s">
        <v>25</v>
      </c>
      <c r="K181" t="s">
        <v>20</v>
      </c>
      <c r="L181" t="s">
        <v>32</v>
      </c>
      <c r="M181" t="s">
        <v>159</v>
      </c>
    </row>
    <row r="182" spans="1:13">
      <c r="A182" t="s">
        <v>13</v>
      </c>
      <c r="B182">
        <v>11623441</v>
      </c>
      <c r="C182" t="s">
        <v>158</v>
      </c>
      <c r="D182" t="s">
        <v>15</v>
      </c>
      <c r="E182" t="s">
        <v>16</v>
      </c>
      <c r="F182">
        <v>51</v>
      </c>
      <c r="G182" t="s">
        <v>33</v>
      </c>
      <c r="H182" t="s">
        <v>31</v>
      </c>
      <c r="I182" t="s">
        <v>28</v>
      </c>
      <c r="J182" t="s">
        <v>25</v>
      </c>
      <c r="K182" t="s">
        <v>20</v>
      </c>
      <c r="L182" t="s">
        <v>32</v>
      </c>
      <c r="M182" t="s">
        <v>159</v>
      </c>
    </row>
    <row r="183" spans="1:13">
      <c r="A183" t="s">
        <v>13</v>
      </c>
      <c r="B183">
        <v>11623441</v>
      </c>
      <c r="C183" t="s">
        <v>158</v>
      </c>
      <c r="D183" t="s">
        <v>15</v>
      </c>
      <c r="E183" t="s">
        <v>16</v>
      </c>
      <c r="F183">
        <v>52</v>
      </c>
      <c r="G183" t="s">
        <v>34</v>
      </c>
      <c r="H183" t="s">
        <v>31</v>
      </c>
      <c r="I183" t="s">
        <v>30</v>
      </c>
      <c r="J183" t="s">
        <v>25</v>
      </c>
      <c r="K183" t="s">
        <v>20</v>
      </c>
      <c r="L183" t="s">
        <v>32</v>
      </c>
      <c r="M183" t="s">
        <v>159</v>
      </c>
    </row>
    <row r="184" spans="1:13">
      <c r="A184" t="s">
        <v>13</v>
      </c>
      <c r="B184">
        <v>11623441</v>
      </c>
      <c r="C184" t="s">
        <v>158</v>
      </c>
      <c r="D184" t="s">
        <v>15</v>
      </c>
      <c r="E184" t="s">
        <v>16</v>
      </c>
      <c r="F184">
        <v>53</v>
      </c>
      <c r="G184" t="s">
        <v>38</v>
      </c>
      <c r="H184" t="s">
        <v>38</v>
      </c>
      <c r="I184" t="s">
        <v>24</v>
      </c>
      <c r="J184" t="s">
        <v>25</v>
      </c>
      <c r="K184" t="s">
        <v>20</v>
      </c>
      <c r="L184" t="s">
        <v>32</v>
      </c>
      <c r="M184" t="s">
        <v>159</v>
      </c>
    </row>
    <row r="185" spans="1:13">
      <c r="A185" t="s">
        <v>13</v>
      </c>
      <c r="B185">
        <v>11623441</v>
      </c>
      <c r="C185" t="s">
        <v>158</v>
      </c>
      <c r="D185" t="s">
        <v>15</v>
      </c>
      <c r="E185" t="s">
        <v>16</v>
      </c>
      <c r="F185">
        <v>54</v>
      </c>
      <c r="G185" t="s">
        <v>39</v>
      </c>
      <c r="H185" t="s">
        <v>38</v>
      </c>
      <c r="I185" t="s">
        <v>28</v>
      </c>
      <c r="J185" t="s">
        <v>25</v>
      </c>
      <c r="K185" t="s">
        <v>20</v>
      </c>
      <c r="L185" t="s">
        <v>32</v>
      </c>
      <c r="M185" t="s">
        <v>159</v>
      </c>
    </row>
    <row r="186" spans="1:13">
      <c r="A186" t="s">
        <v>13</v>
      </c>
      <c r="B186">
        <v>11623441</v>
      </c>
      <c r="C186" t="s">
        <v>158</v>
      </c>
      <c r="D186" t="s">
        <v>15</v>
      </c>
      <c r="E186" t="s">
        <v>16</v>
      </c>
      <c r="F186">
        <v>55</v>
      </c>
      <c r="G186" t="s">
        <v>40</v>
      </c>
      <c r="H186" t="s">
        <v>38</v>
      </c>
      <c r="I186" t="s">
        <v>30</v>
      </c>
      <c r="J186" t="s">
        <v>25</v>
      </c>
      <c r="K186" t="s">
        <v>20</v>
      </c>
      <c r="L186" t="s">
        <v>32</v>
      </c>
      <c r="M186" t="s">
        <v>159</v>
      </c>
    </row>
    <row r="187" spans="1:13">
      <c r="A187" t="s">
        <v>13</v>
      </c>
      <c r="B187">
        <v>11623441</v>
      </c>
      <c r="C187" t="s">
        <v>158</v>
      </c>
      <c r="D187" t="s">
        <v>15</v>
      </c>
      <c r="E187" t="s">
        <v>16</v>
      </c>
      <c r="F187">
        <v>56</v>
      </c>
      <c r="G187" t="s">
        <v>23</v>
      </c>
      <c r="H187" t="s">
        <v>23</v>
      </c>
      <c r="I187" t="s">
        <v>24</v>
      </c>
      <c r="J187" t="s">
        <v>25</v>
      </c>
      <c r="K187" t="s">
        <v>20</v>
      </c>
      <c r="L187" t="s">
        <v>26</v>
      </c>
      <c r="M187" t="s">
        <v>159</v>
      </c>
    </row>
    <row r="188" spans="1:13">
      <c r="A188" t="s">
        <v>13</v>
      </c>
      <c r="B188">
        <v>11623441</v>
      </c>
      <c r="C188" t="s">
        <v>158</v>
      </c>
      <c r="D188" t="s">
        <v>15</v>
      </c>
      <c r="E188" t="s">
        <v>16</v>
      </c>
      <c r="F188">
        <v>57</v>
      </c>
      <c r="G188" t="s">
        <v>27</v>
      </c>
      <c r="H188" t="s">
        <v>23</v>
      </c>
      <c r="I188" t="s">
        <v>28</v>
      </c>
      <c r="J188" t="s">
        <v>25</v>
      </c>
      <c r="K188" t="s">
        <v>20</v>
      </c>
      <c r="L188" t="s">
        <v>26</v>
      </c>
      <c r="M188" t="s">
        <v>159</v>
      </c>
    </row>
    <row r="189" spans="1:13">
      <c r="A189" t="s">
        <v>13</v>
      </c>
      <c r="B189">
        <v>11623441</v>
      </c>
      <c r="C189" t="s">
        <v>158</v>
      </c>
      <c r="D189" t="s">
        <v>15</v>
      </c>
      <c r="E189" t="s">
        <v>16</v>
      </c>
      <c r="F189">
        <v>58</v>
      </c>
      <c r="G189" t="s">
        <v>29</v>
      </c>
      <c r="H189" t="s">
        <v>23</v>
      </c>
      <c r="I189" t="s">
        <v>30</v>
      </c>
      <c r="J189" t="s">
        <v>25</v>
      </c>
      <c r="K189" t="s">
        <v>20</v>
      </c>
      <c r="L189" t="s">
        <v>26</v>
      </c>
      <c r="M189" t="s">
        <v>159</v>
      </c>
    </row>
    <row r="190" spans="1:13">
      <c r="A190" t="s">
        <v>13</v>
      </c>
      <c r="B190">
        <v>11623441</v>
      </c>
      <c r="C190" t="s">
        <v>175</v>
      </c>
      <c r="D190" t="s">
        <v>176</v>
      </c>
      <c r="E190" t="s">
        <v>177</v>
      </c>
      <c r="F190">
        <v>1</v>
      </c>
      <c r="G190" t="s">
        <v>17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178</v>
      </c>
    </row>
    <row r="191" spans="1:13">
      <c r="A191" t="s">
        <v>13</v>
      </c>
      <c r="B191">
        <v>11623441</v>
      </c>
      <c r="C191" t="s">
        <v>175</v>
      </c>
      <c r="D191" t="s">
        <v>176</v>
      </c>
      <c r="E191" t="s">
        <v>177</v>
      </c>
      <c r="F191">
        <v>2</v>
      </c>
      <c r="G191" t="s">
        <v>179</v>
      </c>
      <c r="H191" t="s">
        <v>179</v>
      </c>
      <c r="I191" t="s">
        <v>18</v>
      </c>
      <c r="J191" t="s">
        <v>19</v>
      </c>
      <c r="K191" t="s">
        <v>20</v>
      </c>
      <c r="L191" t="s">
        <v>21</v>
      </c>
      <c r="M191" t="s">
        <v>178</v>
      </c>
    </row>
    <row r="192" spans="1:13">
      <c r="A192" t="s">
        <v>13</v>
      </c>
      <c r="B192">
        <v>11623441</v>
      </c>
      <c r="C192" t="s">
        <v>175</v>
      </c>
      <c r="D192" t="s">
        <v>176</v>
      </c>
      <c r="E192" t="s">
        <v>177</v>
      </c>
      <c r="F192">
        <v>3</v>
      </c>
      <c r="G192" t="s">
        <v>180</v>
      </c>
      <c r="H192" t="s">
        <v>180</v>
      </c>
      <c r="I192" t="s">
        <v>18</v>
      </c>
      <c r="J192" t="s">
        <v>19</v>
      </c>
      <c r="K192" t="s">
        <v>20</v>
      </c>
      <c r="L192" t="s">
        <v>21</v>
      </c>
      <c r="M192" t="s">
        <v>178</v>
      </c>
    </row>
    <row r="193" spans="1:13">
      <c r="A193" t="s">
        <v>13</v>
      </c>
      <c r="B193">
        <v>11623441</v>
      </c>
      <c r="C193" t="s">
        <v>175</v>
      </c>
      <c r="D193" t="s">
        <v>176</v>
      </c>
      <c r="E193" t="s">
        <v>177</v>
      </c>
      <c r="F193">
        <v>4</v>
      </c>
      <c r="G193" t="s">
        <v>181</v>
      </c>
      <c r="H193" t="s">
        <v>181</v>
      </c>
      <c r="I193" t="s">
        <v>18</v>
      </c>
      <c r="J193" t="s">
        <v>19</v>
      </c>
      <c r="K193" t="s">
        <v>20</v>
      </c>
      <c r="L193" t="s">
        <v>21</v>
      </c>
      <c r="M193" t="s">
        <v>178</v>
      </c>
    </row>
    <row r="194" spans="1:13">
      <c r="A194" t="s">
        <v>13</v>
      </c>
      <c r="B194">
        <v>11623441</v>
      </c>
      <c r="C194" t="s">
        <v>175</v>
      </c>
      <c r="D194" t="s">
        <v>176</v>
      </c>
      <c r="E194" t="s">
        <v>177</v>
      </c>
      <c r="F194">
        <v>5</v>
      </c>
      <c r="G194" t="s">
        <v>182</v>
      </c>
      <c r="H194" t="s">
        <v>182</v>
      </c>
      <c r="I194" t="s">
        <v>18</v>
      </c>
      <c r="J194" t="s">
        <v>19</v>
      </c>
      <c r="K194" t="s">
        <v>20</v>
      </c>
      <c r="L194" t="s">
        <v>21</v>
      </c>
      <c r="M194" t="s">
        <v>178</v>
      </c>
    </row>
    <row r="195" spans="1:13">
      <c r="A195" t="s">
        <v>13</v>
      </c>
      <c r="B195">
        <v>11623441</v>
      </c>
      <c r="C195" t="s">
        <v>175</v>
      </c>
      <c r="D195" t="s">
        <v>176</v>
      </c>
      <c r="E195" t="s">
        <v>177</v>
      </c>
      <c r="F195">
        <v>6</v>
      </c>
      <c r="G195" t="s">
        <v>183</v>
      </c>
      <c r="H195" t="s">
        <v>183</v>
      </c>
      <c r="I195" t="s">
        <v>24</v>
      </c>
      <c r="J195" t="s">
        <v>25</v>
      </c>
      <c r="K195" t="s">
        <v>20</v>
      </c>
      <c r="L195" t="s">
        <v>32</v>
      </c>
      <c r="M195" t="s">
        <v>178</v>
      </c>
    </row>
    <row r="196" spans="1:13">
      <c r="A196" t="s">
        <v>13</v>
      </c>
      <c r="B196">
        <v>11623441</v>
      </c>
      <c r="C196" t="s">
        <v>175</v>
      </c>
      <c r="D196" t="s">
        <v>176</v>
      </c>
      <c r="E196" t="s">
        <v>177</v>
      </c>
      <c r="F196">
        <v>7</v>
      </c>
      <c r="G196" t="s">
        <v>184</v>
      </c>
      <c r="H196" t="s">
        <v>183</v>
      </c>
      <c r="I196" t="s">
        <v>28</v>
      </c>
      <c r="J196" t="s">
        <v>25</v>
      </c>
      <c r="K196" t="s">
        <v>20</v>
      </c>
      <c r="L196" t="s">
        <v>32</v>
      </c>
      <c r="M196" t="s">
        <v>178</v>
      </c>
    </row>
    <row r="197" spans="1:13">
      <c r="A197" t="s">
        <v>13</v>
      </c>
      <c r="B197">
        <v>11623441</v>
      </c>
      <c r="C197" t="s">
        <v>175</v>
      </c>
      <c r="D197" t="s">
        <v>176</v>
      </c>
      <c r="E197" t="s">
        <v>177</v>
      </c>
      <c r="F197">
        <v>8</v>
      </c>
      <c r="G197" t="s">
        <v>185</v>
      </c>
      <c r="H197" t="s">
        <v>183</v>
      </c>
      <c r="I197" t="s">
        <v>30</v>
      </c>
      <c r="J197" t="s">
        <v>25</v>
      </c>
      <c r="K197" t="s">
        <v>20</v>
      </c>
      <c r="L197" t="s">
        <v>32</v>
      </c>
      <c r="M197" t="s">
        <v>178</v>
      </c>
    </row>
    <row r="198" spans="1:13">
      <c r="A198" t="s">
        <v>13</v>
      </c>
      <c r="B198">
        <v>11623441</v>
      </c>
      <c r="C198" t="s">
        <v>175</v>
      </c>
      <c r="D198" t="s">
        <v>176</v>
      </c>
      <c r="E198" t="s">
        <v>177</v>
      </c>
      <c r="F198">
        <v>9</v>
      </c>
      <c r="G198" t="s">
        <v>186</v>
      </c>
      <c r="H198" t="s">
        <v>186</v>
      </c>
      <c r="I198" t="s">
        <v>24</v>
      </c>
      <c r="J198" t="s">
        <v>25</v>
      </c>
      <c r="K198" t="s">
        <v>20</v>
      </c>
      <c r="L198" t="s">
        <v>32</v>
      </c>
      <c r="M198" t="s">
        <v>178</v>
      </c>
    </row>
    <row r="199" spans="1:13">
      <c r="A199" t="s">
        <v>13</v>
      </c>
      <c r="B199">
        <v>11623441</v>
      </c>
      <c r="C199" t="s">
        <v>175</v>
      </c>
      <c r="D199" t="s">
        <v>176</v>
      </c>
      <c r="E199" t="s">
        <v>177</v>
      </c>
      <c r="F199">
        <v>10</v>
      </c>
      <c r="G199" t="s">
        <v>187</v>
      </c>
      <c r="H199" t="s">
        <v>186</v>
      </c>
      <c r="I199" t="s">
        <v>28</v>
      </c>
      <c r="J199" t="s">
        <v>25</v>
      </c>
      <c r="K199" t="s">
        <v>20</v>
      </c>
      <c r="L199" t="s">
        <v>32</v>
      </c>
      <c r="M199" t="s">
        <v>178</v>
      </c>
    </row>
    <row r="200" spans="1:13">
      <c r="A200" t="s">
        <v>13</v>
      </c>
      <c r="B200">
        <v>11623441</v>
      </c>
      <c r="C200" t="s">
        <v>175</v>
      </c>
      <c r="D200" t="s">
        <v>176</v>
      </c>
      <c r="E200" t="s">
        <v>177</v>
      </c>
      <c r="F200">
        <v>11</v>
      </c>
      <c r="G200" t="s">
        <v>188</v>
      </c>
      <c r="H200" t="s">
        <v>186</v>
      </c>
      <c r="I200" t="s">
        <v>30</v>
      </c>
      <c r="J200" t="s">
        <v>25</v>
      </c>
      <c r="K200" t="s">
        <v>20</v>
      </c>
      <c r="L200" t="s">
        <v>32</v>
      </c>
      <c r="M200" t="s">
        <v>178</v>
      </c>
    </row>
    <row r="201" spans="1:13">
      <c r="A201" t="s">
        <v>13</v>
      </c>
      <c r="B201">
        <v>11623441</v>
      </c>
      <c r="C201" t="s">
        <v>175</v>
      </c>
      <c r="D201" t="s">
        <v>176</v>
      </c>
      <c r="E201" t="s">
        <v>177</v>
      </c>
      <c r="F201">
        <v>12</v>
      </c>
      <c r="G201" t="s">
        <v>71</v>
      </c>
      <c r="H201" t="s">
        <v>71</v>
      </c>
      <c r="I201" t="s">
        <v>24</v>
      </c>
      <c r="J201" t="s">
        <v>25</v>
      </c>
      <c r="K201" t="s">
        <v>20</v>
      </c>
      <c r="L201" t="s">
        <v>26</v>
      </c>
      <c r="M201" t="s">
        <v>178</v>
      </c>
    </row>
    <row r="202" spans="1:13">
      <c r="A202" t="s">
        <v>13</v>
      </c>
      <c r="B202">
        <v>11623441</v>
      </c>
      <c r="C202" t="s">
        <v>175</v>
      </c>
      <c r="D202" t="s">
        <v>176</v>
      </c>
      <c r="E202" t="s">
        <v>177</v>
      </c>
      <c r="F202">
        <v>13</v>
      </c>
      <c r="G202" t="s">
        <v>72</v>
      </c>
      <c r="H202" t="s">
        <v>71</v>
      </c>
      <c r="I202" t="s">
        <v>28</v>
      </c>
      <c r="J202" t="s">
        <v>25</v>
      </c>
      <c r="K202" t="s">
        <v>20</v>
      </c>
      <c r="L202" t="s">
        <v>26</v>
      </c>
      <c r="M202" t="s">
        <v>178</v>
      </c>
    </row>
    <row r="203" spans="1:13">
      <c r="A203" t="s">
        <v>13</v>
      </c>
      <c r="B203">
        <v>11623441</v>
      </c>
      <c r="C203" t="s">
        <v>175</v>
      </c>
      <c r="D203" t="s">
        <v>176</v>
      </c>
      <c r="E203" t="s">
        <v>177</v>
      </c>
      <c r="F203">
        <v>14</v>
      </c>
      <c r="G203" t="s">
        <v>73</v>
      </c>
      <c r="H203" t="s">
        <v>71</v>
      </c>
      <c r="I203" t="s">
        <v>30</v>
      </c>
      <c r="J203" t="s">
        <v>25</v>
      </c>
      <c r="K203" t="s">
        <v>20</v>
      </c>
      <c r="L203" t="s">
        <v>26</v>
      </c>
      <c r="M203" t="s">
        <v>178</v>
      </c>
    </row>
    <row r="204" spans="1:13">
      <c r="A204" t="s">
        <v>13</v>
      </c>
      <c r="B204">
        <v>11623441</v>
      </c>
      <c r="C204" t="s">
        <v>175</v>
      </c>
      <c r="D204" t="s">
        <v>176</v>
      </c>
      <c r="E204" t="s">
        <v>177</v>
      </c>
      <c r="F204">
        <v>15</v>
      </c>
      <c r="G204" t="s">
        <v>44</v>
      </c>
      <c r="H204" t="s">
        <v>44</v>
      </c>
      <c r="I204" t="s">
        <v>24</v>
      </c>
      <c r="J204" t="s">
        <v>25</v>
      </c>
      <c r="K204" t="s">
        <v>20</v>
      </c>
      <c r="L204" t="s">
        <v>26</v>
      </c>
      <c r="M204" t="s">
        <v>178</v>
      </c>
    </row>
    <row r="205" spans="1:13">
      <c r="A205" t="s">
        <v>13</v>
      </c>
      <c r="B205">
        <v>11623441</v>
      </c>
      <c r="C205" t="s">
        <v>175</v>
      </c>
      <c r="D205" t="s">
        <v>176</v>
      </c>
      <c r="E205" t="s">
        <v>177</v>
      </c>
      <c r="F205">
        <v>16</v>
      </c>
      <c r="G205" t="s">
        <v>45</v>
      </c>
      <c r="H205" t="s">
        <v>44</v>
      </c>
      <c r="I205" t="s">
        <v>28</v>
      </c>
      <c r="J205" t="s">
        <v>25</v>
      </c>
      <c r="K205" t="s">
        <v>20</v>
      </c>
      <c r="L205" t="s">
        <v>26</v>
      </c>
      <c r="M205" t="s">
        <v>178</v>
      </c>
    </row>
    <row r="206" spans="1:13">
      <c r="A206" t="s">
        <v>13</v>
      </c>
      <c r="B206">
        <v>11623441</v>
      </c>
      <c r="C206" t="s">
        <v>175</v>
      </c>
      <c r="D206" t="s">
        <v>176</v>
      </c>
      <c r="E206" t="s">
        <v>177</v>
      </c>
      <c r="F206">
        <v>17</v>
      </c>
      <c r="G206" t="s">
        <v>46</v>
      </c>
      <c r="H206" t="s">
        <v>44</v>
      </c>
      <c r="I206" t="s">
        <v>30</v>
      </c>
      <c r="J206" t="s">
        <v>25</v>
      </c>
      <c r="K206" t="s">
        <v>20</v>
      </c>
      <c r="L206" t="s">
        <v>26</v>
      </c>
      <c r="M206" t="s">
        <v>178</v>
      </c>
    </row>
    <row r="207" spans="1:13">
      <c r="A207" t="s">
        <v>13</v>
      </c>
      <c r="B207">
        <v>11623441</v>
      </c>
      <c r="C207" t="s">
        <v>175</v>
      </c>
      <c r="D207" t="s">
        <v>176</v>
      </c>
      <c r="E207" t="s">
        <v>177</v>
      </c>
      <c r="F207">
        <v>18</v>
      </c>
      <c r="G207" t="s">
        <v>189</v>
      </c>
      <c r="H207" t="s">
        <v>189</v>
      </c>
      <c r="I207" t="s">
        <v>24</v>
      </c>
      <c r="J207" t="s">
        <v>25</v>
      </c>
      <c r="K207" t="s">
        <v>20</v>
      </c>
      <c r="L207" t="s">
        <v>32</v>
      </c>
      <c r="M207" t="s">
        <v>178</v>
      </c>
    </row>
    <row r="208" spans="1:13">
      <c r="A208" t="s">
        <v>13</v>
      </c>
      <c r="B208">
        <v>11623441</v>
      </c>
      <c r="C208" t="s">
        <v>175</v>
      </c>
      <c r="D208" t="s">
        <v>176</v>
      </c>
      <c r="E208" t="s">
        <v>177</v>
      </c>
      <c r="F208">
        <v>19</v>
      </c>
      <c r="G208" t="s">
        <v>190</v>
      </c>
      <c r="H208" t="s">
        <v>189</v>
      </c>
      <c r="I208" t="s">
        <v>28</v>
      </c>
      <c r="J208" t="s">
        <v>25</v>
      </c>
      <c r="K208" t="s">
        <v>20</v>
      </c>
      <c r="L208" t="s">
        <v>32</v>
      </c>
      <c r="M208" t="s">
        <v>178</v>
      </c>
    </row>
    <row r="209" spans="1:13">
      <c r="A209" t="s">
        <v>13</v>
      </c>
      <c r="B209">
        <v>11623441</v>
      </c>
      <c r="C209" t="s">
        <v>175</v>
      </c>
      <c r="D209" t="s">
        <v>176</v>
      </c>
      <c r="E209" t="s">
        <v>177</v>
      </c>
      <c r="F209">
        <v>20</v>
      </c>
      <c r="G209" t="s">
        <v>191</v>
      </c>
      <c r="H209" t="s">
        <v>189</v>
      </c>
      <c r="I209" t="s">
        <v>30</v>
      </c>
      <c r="J209" t="s">
        <v>25</v>
      </c>
      <c r="K209" t="s">
        <v>20</v>
      </c>
      <c r="L209" t="s">
        <v>32</v>
      </c>
      <c r="M209" t="s">
        <v>178</v>
      </c>
    </row>
    <row r="210" spans="1:13">
      <c r="A210" t="s">
        <v>13</v>
      </c>
      <c r="B210">
        <v>11623441</v>
      </c>
      <c r="C210" t="s">
        <v>175</v>
      </c>
      <c r="D210" t="s">
        <v>176</v>
      </c>
      <c r="E210" t="s">
        <v>177</v>
      </c>
      <c r="F210">
        <v>21</v>
      </c>
      <c r="G210" t="s">
        <v>192</v>
      </c>
      <c r="H210" t="s">
        <v>192</v>
      </c>
      <c r="I210" t="s">
        <v>24</v>
      </c>
      <c r="J210" t="s">
        <v>25</v>
      </c>
      <c r="K210" t="s">
        <v>20</v>
      </c>
      <c r="L210" t="s">
        <v>26</v>
      </c>
      <c r="M210" t="s">
        <v>178</v>
      </c>
    </row>
    <row r="211" spans="1:13">
      <c r="A211" t="s">
        <v>13</v>
      </c>
      <c r="B211">
        <v>11623441</v>
      </c>
      <c r="C211" t="s">
        <v>175</v>
      </c>
      <c r="D211" t="s">
        <v>176</v>
      </c>
      <c r="E211" t="s">
        <v>177</v>
      </c>
      <c r="F211">
        <v>22</v>
      </c>
      <c r="G211" t="s">
        <v>193</v>
      </c>
      <c r="H211" t="s">
        <v>192</v>
      </c>
      <c r="I211" t="s">
        <v>28</v>
      </c>
      <c r="J211" t="s">
        <v>25</v>
      </c>
      <c r="K211" t="s">
        <v>20</v>
      </c>
      <c r="L211" t="s">
        <v>26</v>
      </c>
      <c r="M211" t="s">
        <v>178</v>
      </c>
    </row>
    <row r="212" spans="1:13">
      <c r="A212" t="s">
        <v>13</v>
      </c>
      <c r="B212">
        <v>11623441</v>
      </c>
      <c r="C212" t="s">
        <v>175</v>
      </c>
      <c r="D212" t="s">
        <v>176</v>
      </c>
      <c r="E212" t="s">
        <v>177</v>
      </c>
      <c r="F212">
        <v>23</v>
      </c>
      <c r="G212" t="s">
        <v>194</v>
      </c>
      <c r="H212" t="s">
        <v>192</v>
      </c>
      <c r="I212" t="s">
        <v>30</v>
      </c>
      <c r="J212" t="s">
        <v>25</v>
      </c>
      <c r="K212" t="s">
        <v>20</v>
      </c>
      <c r="L212" t="s">
        <v>26</v>
      </c>
      <c r="M212" t="s">
        <v>178</v>
      </c>
    </row>
    <row r="213" spans="1:13">
      <c r="A213" t="s">
        <v>13</v>
      </c>
      <c r="B213">
        <v>11623441</v>
      </c>
      <c r="C213" t="s">
        <v>175</v>
      </c>
      <c r="D213" t="s">
        <v>176</v>
      </c>
      <c r="E213" t="s">
        <v>177</v>
      </c>
      <c r="F213">
        <v>24</v>
      </c>
      <c r="G213" t="s">
        <v>195</v>
      </c>
      <c r="H213" t="s">
        <v>195</v>
      </c>
      <c r="I213" t="s">
        <v>24</v>
      </c>
      <c r="J213" t="s">
        <v>25</v>
      </c>
      <c r="K213" t="s">
        <v>20</v>
      </c>
      <c r="L213" t="s">
        <v>32</v>
      </c>
      <c r="M213" t="s">
        <v>178</v>
      </c>
    </row>
    <row r="214" spans="1:13">
      <c r="A214" t="s">
        <v>13</v>
      </c>
      <c r="B214">
        <v>11623441</v>
      </c>
      <c r="C214" t="s">
        <v>175</v>
      </c>
      <c r="D214" t="s">
        <v>176</v>
      </c>
      <c r="E214" t="s">
        <v>177</v>
      </c>
      <c r="F214">
        <v>25</v>
      </c>
      <c r="G214" t="s">
        <v>196</v>
      </c>
      <c r="H214" t="s">
        <v>195</v>
      </c>
      <c r="I214" t="s">
        <v>28</v>
      </c>
      <c r="J214" t="s">
        <v>25</v>
      </c>
      <c r="K214" t="s">
        <v>20</v>
      </c>
      <c r="L214" t="s">
        <v>32</v>
      </c>
      <c r="M214" t="s">
        <v>178</v>
      </c>
    </row>
    <row r="215" spans="1:13">
      <c r="A215" t="s">
        <v>13</v>
      </c>
      <c r="B215">
        <v>11623441</v>
      </c>
      <c r="C215" t="s">
        <v>175</v>
      </c>
      <c r="D215" t="s">
        <v>176</v>
      </c>
      <c r="E215" t="s">
        <v>177</v>
      </c>
      <c r="F215">
        <v>26</v>
      </c>
      <c r="G215" t="s">
        <v>197</v>
      </c>
      <c r="H215" t="s">
        <v>195</v>
      </c>
      <c r="I215" t="s">
        <v>30</v>
      </c>
      <c r="J215" t="s">
        <v>25</v>
      </c>
      <c r="K215" t="s">
        <v>20</v>
      </c>
      <c r="L215" t="s">
        <v>32</v>
      </c>
      <c r="M215" t="s">
        <v>178</v>
      </c>
    </row>
    <row r="216" spans="1:13">
      <c r="A216" t="s">
        <v>13</v>
      </c>
      <c r="B216">
        <v>11623441</v>
      </c>
      <c r="C216" t="s">
        <v>175</v>
      </c>
      <c r="D216" t="s">
        <v>176</v>
      </c>
      <c r="E216" t="s">
        <v>177</v>
      </c>
      <c r="F216">
        <v>27</v>
      </c>
      <c r="G216" t="s">
        <v>198</v>
      </c>
      <c r="H216" t="s">
        <v>198</v>
      </c>
      <c r="I216" t="s">
        <v>24</v>
      </c>
      <c r="J216" t="s">
        <v>25</v>
      </c>
      <c r="K216" t="s">
        <v>20</v>
      </c>
      <c r="L216" t="s">
        <v>32</v>
      </c>
      <c r="M216" t="s">
        <v>178</v>
      </c>
    </row>
    <row r="217" spans="1:13">
      <c r="A217" t="s">
        <v>13</v>
      </c>
      <c r="B217">
        <v>11623441</v>
      </c>
      <c r="C217" t="s">
        <v>175</v>
      </c>
      <c r="D217" t="s">
        <v>176</v>
      </c>
      <c r="E217" t="s">
        <v>177</v>
      </c>
      <c r="F217">
        <v>28</v>
      </c>
      <c r="G217" t="s">
        <v>199</v>
      </c>
      <c r="H217" t="s">
        <v>198</v>
      </c>
      <c r="I217" t="s">
        <v>28</v>
      </c>
      <c r="J217" t="s">
        <v>25</v>
      </c>
      <c r="K217" t="s">
        <v>20</v>
      </c>
      <c r="L217" t="s">
        <v>32</v>
      </c>
      <c r="M217" t="s">
        <v>178</v>
      </c>
    </row>
    <row r="218" spans="1:13">
      <c r="A218" t="s">
        <v>13</v>
      </c>
      <c r="B218">
        <v>11623441</v>
      </c>
      <c r="C218" t="s">
        <v>175</v>
      </c>
      <c r="D218" t="s">
        <v>176</v>
      </c>
      <c r="E218" t="s">
        <v>177</v>
      </c>
      <c r="F218">
        <v>29</v>
      </c>
      <c r="G218" t="s">
        <v>200</v>
      </c>
      <c r="H218" t="s">
        <v>198</v>
      </c>
      <c r="I218" t="s">
        <v>30</v>
      </c>
      <c r="J218" t="s">
        <v>25</v>
      </c>
      <c r="K218" t="s">
        <v>20</v>
      </c>
      <c r="L218" t="s">
        <v>32</v>
      </c>
      <c r="M218" t="s">
        <v>178</v>
      </c>
    </row>
    <row r="219" spans="1:13">
      <c r="A219" t="s">
        <v>13</v>
      </c>
      <c r="B219">
        <v>11623441</v>
      </c>
      <c r="C219" t="s">
        <v>175</v>
      </c>
      <c r="D219" t="s">
        <v>176</v>
      </c>
      <c r="E219" t="s">
        <v>177</v>
      </c>
      <c r="F219">
        <v>30</v>
      </c>
      <c r="G219" t="s">
        <v>201</v>
      </c>
      <c r="H219" t="s">
        <v>201</v>
      </c>
      <c r="I219" t="s">
        <v>24</v>
      </c>
      <c r="J219" t="s">
        <v>25</v>
      </c>
      <c r="K219" t="s">
        <v>20</v>
      </c>
      <c r="L219" t="s">
        <v>26</v>
      </c>
      <c r="M219" t="s">
        <v>178</v>
      </c>
    </row>
    <row r="220" spans="1:13">
      <c r="A220" t="s">
        <v>13</v>
      </c>
      <c r="B220">
        <v>11623441</v>
      </c>
      <c r="C220" t="s">
        <v>175</v>
      </c>
      <c r="D220" t="s">
        <v>176</v>
      </c>
      <c r="E220" t="s">
        <v>177</v>
      </c>
      <c r="F220">
        <v>31</v>
      </c>
      <c r="G220" t="s">
        <v>202</v>
      </c>
      <c r="H220" t="s">
        <v>201</v>
      </c>
      <c r="I220" t="s">
        <v>28</v>
      </c>
      <c r="J220" t="s">
        <v>25</v>
      </c>
      <c r="K220" t="s">
        <v>20</v>
      </c>
      <c r="L220" t="s">
        <v>26</v>
      </c>
      <c r="M220" t="s">
        <v>178</v>
      </c>
    </row>
    <row r="221" spans="1:13">
      <c r="A221" t="s">
        <v>13</v>
      </c>
      <c r="B221">
        <v>11623441</v>
      </c>
      <c r="C221" t="s">
        <v>175</v>
      </c>
      <c r="D221" t="s">
        <v>176</v>
      </c>
      <c r="E221" t="s">
        <v>177</v>
      </c>
      <c r="F221">
        <v>32</v>
      </c>
      <c r="G221" t="s">
        <v>203</v>
      </c>
      <c r="H221" t="s">
        <v>201</v>
      </c>
      <c r="I221" t="s">
        <v>30</v>
      </c>
      <c r="J221" t="s">
        <v>25</v>
      </c>
      <c r="K221" t="s">
        <v>20</v>
      </c>
      <c r="L221" t="s">
        <v>26</v>
      </c>
      <c r="M221" t="s">
        <v>178</v>
      </c>
    </row>
    <row r="222" spans="1:13">
      <c r="A222" t="s">
        <v>13</v>
      </c>
      <c r="B222">
        <v>11623441</v>
      </c>
      <c r="C222" t="s">
        <v>175</v>
      </c>
      <c r="D222" t="s">
        <v>176</v>
      </c>
      <c r="E222" t="s">
        <v>177</v>
      </c>
      <c r="F222">
        <v>33</v>
      </c>
      <c r="G222" t="s">
        <v>204</v>
      </c>
      <c r="H222" t="s">
        <v>204</v>
      </c>
      <c r="I222" t="s">
        <v>24</v>
      </c>
      <c r="J222" t="s">
        <v>25</v>
      </c>
      <c r="K222" t="s">
        <v>20</v>
      </c>
      <c r="L222" t="s">
        <v>26</v>
      </c>
      <c r="M222" t="s">
        <v>178</v>
      </c>
    </row>
    <row r="223" spans="1:13">
      <c r="A223" t="s">
        <v>13</v>
      </c>
      <c r="B223">
        <v>11623441</v>
      </c>
      <c r="C223" t="s">
        <v>175</v>
      </c>
      <c r="D223" t="s">
        <v>176</v>
      </c>
      <c r="E223" t="s">
        <v>177</v>
      </c>
      <c r="F223">
        <v>34</v>
      </c>
      <c r="G223" t="s">
        <v>205</v>
      </c>
      <c r="H223" t="s">
        <v>204</v>
      </c>
      <c r="I223" t="s">
        <v>28</v>
      </c>
      <c r="J223" t="s">
        <v>25</v>
      </c>
      <c r="K223" t="s">
        <v>20</v>
      </c>
      <c r="L223" t="s">
        <v>26</v>
      </c>
      <c r="M223" t="s">
        <v>178</v>
      </c>
    </row>
    <row r="224" spans="1:13">
      <c r="A224" t="s">
        <v>13</v>
      </c>
      <c r="B224">
        <v>11623441</v>
      </c>
      <c r="C224" t="s">
        <v>175</v>
      </c>
      <c r="D224" t="s">
        <v>176</v>
      </c>
      <c r="E224" t="s">
        <v>177</v>
      </c>
      <c r="F224">
        <v>35</v>
      </c>
      <c r="G224" t="s">
        <v>206</v>
      </c>
      <c r="H224" t="s">
        <v>204</v>
      </c>
      <c r="I224" t="s">
        <v>30</v>
      </c>
      <c r="J224" t="s">
        <v>25</v>
      </c>
      <c r="K224" t="s">
        <v>20</v>
      </c>
      <c r="L224" t="s">
        <v>26</v>
      </c>
      <c r="M224" t="s">
        <v>178</v>
      </c>
    </row>
    <row r="225" spans="1:13">
      <c r="A225" t="s">
        <v>13</v>
      </c>
      <c r="B225">
        <v>11623441</v>
      </c>
      <c r="C225" t="s">
        <v>207</v>
      </c>
      <c r="D225" t="s">
        <v>15</v>
      </c>
      <c r="E225" t="s">
        <v>16</v>
      </c>
      <c r="F225">
        <v>1</v>
      </c>
      <c r="G225" t="s">
        <v>17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208</v>
      </c>
    </row>
    <row r="226" spans="1:13">
      <c r="A226" t="s">
        <v>13</v>
      </c>
      <c r="B226">
        <v>11623441</v>
      </c>
      <c r="C226" t="s">
        <v>207</v>
      </c>
      <c r="D226" t="s">
        <v>15</v>
      </c>
      <c r="E226" t="s">
        <v>16</v>
      </c>
      <c r="F226">
        <v>2</v>
      </c>
      <c r="G226" t="s">
        <v>209</v>
      </c>
      <c r="H226" t="s">
        <v>209</v>
      </c>
      <c r="I226" t="s">
        <v>24</v>
      </c>
      <c r="J226" t="s">
        <v>25</v>
      </c>
      <c r="K226" t="s">
        <v>20</v>
      </c>
      <c r="L226" t="s">
        <v>32</v>
      </c>
      <c r="M226" t="s">
        <v>208</v>
      </c>
    </row>
    <row r="227" spans="1:13">
      <c r="A227" t="s">
        <v>13</v>
      </c>
      <c r="B227">
        <v>11623441</v>
      </c>
      <c r="C227" t="s">
        <v>207</v>
      </c>
      <c r="D227" t="s">
        <v>15</v>
      </c>
      <c r="E227" t="s">
        <v>16</v>
      </c>
      <c r="F227">
        <v>3</v>
      </c>
      <c r="G227" t="s">
        <v>210</v>
      </c>
      <c r="H227" t="s">
        <v>209</v>
      </c>
      <c r="I227" t="s">
        <v>28</v>
      </c>
      <c r="J227" t="s">
        <v>25</v>
      </c>
      <c r="K227" t="s">
        <v>20</v>
      </c>
      <c r="L227" t="s">
        <v>32</v>
      </c>
      <c r="M227" t="s">
        <v>208</v>
      </c>
    </row>
    <row r="228" spans="1:13">
      <c r="A228" t="s">
        <v>13</v>
      </c>
      <c r="B228">
        <v>11623441</v>
      </c>
      <c r="C228" t="s">
        <v>207</v>
      </c>
      <c r="D228" t="s">
        <v>15</v>
      </c>
      <c r="E228" t="s">
        <v>16</v>
      </c>
      <c r="F228">
        <v>4</v>
      </c>
      <c r="G228" t="s">
        <v>211</v>
      </c>
      <c r="H228" t="s">
        <v>209</v>
      </c>
      <c r="I228" t="s">
        <v>30</v>
      </c>
      <c r="J228" t="s">
        <v>25</v>
      </c>
      <c r="K228" t="s">
        <v>20</v>
      </c>
      <c r="L228" t="s">
        <v>32</v>
      </c>
      <c r="M228" t="s">
        <v>208</v>
      </c>
    </row>
    <row r="229" spans="1:13">
      <c r="A229" t="s">
        <v>13</v>
      </c>
      <c r="B229">
        <v>11623441</v>
      </c>
      <c r="C229" t="s">
        <v>207</v>
      </c>
      <c r="D229" t="s">
        <v>15</v>
      </c>
      <c r="E229" t="s">
        <v>16</v>
      </c>
      <c r="F229">
        <v>5</v>
      </c>
      <c r="G229" t="s">
        <v>212</v>
      </c>
      <c r="H229" t="s">
        <v>212</v>
      </c>
      <c r="I229" t="s">
        <v>24</v>
      </c>
      <c r="J229" t="s">
        <v>25</v>
      </c>
      <c r="K229" t="s">
        <v>20</v>
      </c>
      <c r="L229" t="s">
        <v>26</v>
      </c>
      <c r="M229" t="s">
        <v>208</v>
      </c>
    </row>
    <row r="230" spans="1:13">
      <c r="A230" t="s">
        <v>13</v>
      </c>
      <c r="B230">
        <v>11623441</v>
      </c>
      <c r="C230" t="s">
        <v>207</v>
      </c>
      <c r="D230" t="s">
        <v>15</v>
      </c>
      <c r="E230" t="s">
        <v>16</v>
      </c>
      <c r="F230">
        <v>6</v>
      </c>
      <c r="G230" t="s">
        <v>213</v>
      </c>
      <c r="H230" t="s">
        <v>212</v>
      </c>
      <c r="I230" t="s">
        <v>28</v>
      </c>
      <c r="J230" t="s">
        <v>25</v>
      </c>
      <c r="K230" t="s">
        <v>20</v>
      </c>
      <c r="L230" t="s">
        <v>26</v>
      </c>
      <c r="M230" t="s">
        <v>208</v>
      </c>
    </row>
    <row r="231" spans="1:13">
      <c r="A231" t="s">
        <v>13</v>
      </c>
      <c r="B231">
        <v>11623441</v>
      </c>
      <c r="C231" t="s">
        <v>207</v>
      </c>
      <c r="D231" t="s">
        <v>15</v>
      </c>
      <c r="E231" t="s">
        <v>16</v>
      </c>
      <c r="F231">
        <v>7</v>
      </c>
      <c r="G231" t="s">
        <v>214</v>
      </c>
      <c r="H231" t="s">
        <v>212</v>
      </c>
      <c r="I231" t="s">
        <v>30</v>
      </c>
      <c r="J231" t="s">
        <v>25</v>
      </c>
      <c r="K231" t="s">
        <v>20</v>
      </c>
      <c r="L231" t="s">
        <v>26</v>
      </c>
      <c r="M231" t="s">
        <v>208</v>
      </c>
    </row>
    <row r="232" spans="1:13">
      <c r="A232" t="s">
        <v>13</v>
      </c>
      <c r="B232">
        <v>11623441</v>
      </c>
      <c r="C232" t="s">
        <v>207</v>
      </c>
      <c r="D232" t="s">
        <v>15</v>
      </c>
      <c r="E232" t="s">
        <v>16</v>
      </c>
      <c r="F232">
        <v>8</v>
      </c>
      <c r="G232" t="s">
        <v>23</v>
      </c>
      <c r="H232" t="s">
        <v>23</v>
      </c>
      <c r="I232" t="s">
        <v>24</v>
      </c>
      <c r="J232" t="s">
        <v>25</v>
      </c>
      <c r="K232" t="s">
        <v>20</v>
      </c>
      <c r="L232" t="s">
        <v>26</v>
      </c>
      <c r="M232" t="s">
        <v>208</v>
      </c>
    </row>
    <row r="233" spans="1:13">
      <c r="A233" t="s">
        <v>13</v>
      </c>
      <c r="B233">
        <v>11623441</v>
      </c>
      <c r="C233" t="s">
        <v>207</v>
      </c>
      <c r="D233" t="s">
        <v>15</v>
      </c>
      <c r="E233" t="s">
        <v>16</v>
      </c>
      <c r="F233">
        <v>9</v>
      </c>
      <c r="G233" t="s">
        <v>27</v>
      </c>
      <c r="H233" t="s">
        <v>23</v>
      </c>
      <c r="I233" t="s">
        <v>28</v>
      </c>
      <c r="J233" t="s">
        <v>25</v>
      </c>
      <c r="K233" t="s">
        <v>20</v>
      </c>
      <c r="L233" t="s">
        <v>26</v>
      </c>
      <c r="M233" t="s">
        <v>208</v>
      </c>
    </row>
    <row r="234" spans="1:13">
      <c r="A234" t="s">
        <v>13</v>
      </c>
      <c r="B234">
        <v>11623441</v>
      </c>
      <c r="C234" t="s">
        <v>207</v>
      </c>
      <c r="D234" t="s">
        <v>15</v>
      </c>
      <c r="E234" t="s">
        <v>16</v>
      </c>
      <c r="F234">
        <v>10</v>
      </c>
      <c r="G234" t="s">
        <v>29</v>
      </c>
      <c r="H234" t="s">
        <v>23</v>
      </c>
      <c r="I234" t="s">
        <v>30</v>
      </c>
      <c r="J234" t="s">
        <v>25</v>
      </c>
      <c r="K234" t="s">
        <v>20</v>
      </c>
      <c r="L234" t="s">
        <v>26</v>
      </c>
      <c r="M234" t="s">
        <v>208</v>
      </c>
    </row>
    <row r="235" spans="1:13">
      <c r="A235" t="s">
        <v>13</v>
      </c>
      <c r="B235">
        <v>11623441</v>
      </c>
      <c r="C235" t="s">
        <v>207</v>
      </c>
      <c r="D235" t="s">
        <v>15</v>
      </c>
      <c r="E235" t="s">
        <v>16</v>
      </c>
      <c r="F235">
        <v>11</v>
      </c>
      <c r="G235" t="s">
        <v>31</v>
      </c>
      <c r="H235" t="s">
        <v>31</v>
      </c>
      <c r="I235" t="s">
        <v>24</v>
      </c>
      <c r="J235" t="s">
        <v>25</v>
      </c>
      <c r="K235" t="s">
        <v>20</v>
      </c>
      <c r="L235" t="s">
        <v>32</v>
      </c>
      <c r="M235" t="s">
        <v>208</v>
      </c>
    </row>
    <row r="236" spans="1:13">
      <c r="A236" t="s">
        <v>13</v>
      </c>
      <c r="B236">
        <v>11623441</v>
      </c>
      <c r="C236" t="s">
        <v>207</v>
      </c>
      <c r="D236" t="s">
        <v>15</v>
      </c>
      <c r="E236" t="s">
        <v>16</v>
      </c>
      <c r="F236">
        <v>12</v>
      </c>
      <c r="G236" t="s">
        <v>33</v>
      </c>
      <c r="H236" t="s">
        <v>31</v>
      </c>
      <c r="I236" t="s">
        <v>28</v>
      </c>
      <c r="J236" t="s">
        <v>25</v>
      </c>
      <c r="K236" t="s">
        <v>20</v>
      </c>
      <c r="L236" t="s">
        <v>32</v>
      </c>
      <c r="M236" t="s">
        <v>208</v>
      </c>
    </row>
    <row r="237" spans="1:13">
      <c r="A237" t="s">
        <v>13</v>
      </c>
      <c r="B237">
        <v>11623441</v>
      </c>
      <c r="C237" t="s">
        <v>207</v>
      </c>
      <c r="D237" t="s">
        <v>15</v>
      </c>
      <c r="E237" t="s">
        <v>16</v>
      </c>
      <c r="F237">
        <v>13</v>
      </c>
      <c r="G237" t="s">
        <v>34</v>
      </c>
      <c r="H237" t="s">
        <v>31</v>
      </c>
      <c r="I237" t="s">
        <v>30</v>
      </c>
      <c r="J237" t="s">
        <v>25</v>
      </c>
      <c r="K237" t="s">
        <v>20</v>
      </c>
      <c r="L237" t="s">
        <v>32</v>
      </c>
      <c r="M237" t="s">
        <v>208</v>
      </c>
    </row>
    <row r="238" spans="1:13">
      <c r="A238" t="s">
        <v>13</v>
      </c>
      <c r="B238">
        <v>11623441</v>
      </c>
      <c r="C238" t="s">
        <v>207</v>
      </c>
      <c r="D238" t="s">
        <v>15</v>
      </c>
      <c r="E238" t="s">
        <v>16</v>
      </c>
      <c r="F238">
        <v>14</v>
      </c>
      <c r="G238" t="s">
        <v>38</v>
      </c>
      <c r="H238" t="s">
        <v>38</v>
      </c>
      <c r="I238" t="s">
        <v>24</v>
      </c>
      <c r="J238" t="s">
        <v>25</v>
      </c>
      <c r="K238" t="s">
        <v>20</v>
      </c>
      <c r="L238" t="s">
        <v>32</v>
      </c>
      <c r="M238" t="s">
        <v>208</v>
      </c>
    </row>
    <row r="239" spans="1:13">
      <c r="A239" t="s">
        <v>13</v>
      </c>
      <c r="B239">
        <v>11623441</v>
      </c>
      <c r="C239" t="s">
        <v>207</v>
      </c>
      <c r="D239" t="s">
        <v>15</v>
      </c>
      <c r="E239" t="s">
        <v>16</v>
      </c>
      <c r="F239">
        <v>15</v>
      </c>
      <c r="G239" t="s">
        <v>39</v>
      </c>
      <c r="H239" t="s">
        <v>38</v>
      </c>
      <c r="I239" t="s">
        <v>28</v>
      </c>
      <c r="J239" t="s">
        <v>25</v>
      </c>
      <c r="K239" t="s">
        <v>20</v>
      </c>
      <c r="L239" t="s">
        <v>32</v>
      </c>
      <c r="M239" t="s">
        <v>208</v>
      </c>
    </row>
    <row r="240" spans="1:13">
      <c r="A240" t="s">
        <v>13</v>
      </c>
      <c r="B240">
        <v>11623441</v>
      </c>
      <c r="C240" t="s">
        <v>207</v>
      </c>
      <c r="D240" t="s">
        <v>15</v>
      </c>
      <c r="E240" t="s">
        <v>16</v>
      </c>
      <c r="F240">
        <v>16</v>
      </c>
      <c r="G240" t="s">
        <v>40</v>
      </c>
      <c r="H240" t="s">
        <v>38</v>
      </c>
      <c r="I240" t="s">
        <v>30</v>
      </c>
      <c r="J240" t="s">
        <v>25</v>
      </c>
      <c r="K240" t="s">
        <v>20</v>
      </c>
      <c r="L240" t="s">
        <v>32</v>
      </c>
      <c r="M240" t="s">
        <v>208</v>
      </c>
    </row>
    <row r="241" spans="1:13">
      <c r="A241" t="s">
        <v>13</v>
      </c>
      <c r="B241">
        <v>11623441</v>
      </c>
      <c r="C241" t="s">
        <v>207</v>
      </c>
      <c r="D241" t="s">
        <v>15</v>
      </c>
      <c r="E241" t="s">
        <v>16</v>
      </c>
      <c r="F241">
        <v>17</v>
      </c>
      <c r="G241" t="s">
        <v>35</v>
      </c>
      <c r="H241" t="s">
        <v>35</v>
      </c>
      <c r="I241" t="s">
        <v>24</v>
      </c>
      <c r="J241" t="s">
        <v>25</v>
      </c>
      <c r="K241" t="s">
        <v>20</v>
      </c>
      <c r="L241" t="s">
        <v>32</v>
      </c>
      <c r="M241" t="s">
        <v>208</v>
      </c>
    </row>
    <row r="242" spans="1:13">
      <c r="A242" t="s">
        <v>13</v>
      </c>
      <c r="B242">
        <v>11623441</v>
      </c>
      <c r="C242" t="s">
        <v>207</v>
      </c>
      <c r="D242" t="s">
        <v>15</v>
      </c>
      <c r="E242" t="s">
        <v>16</v>
      </c>
      <c r="F242">
        <v>18</v>
      </c>
      <c r="G242" t="s">
        <v>36</v>
      </c>
      <c r="H242" t="s">
        <v>35</v>
      </c>
      <c r="I242" t="s">
        <v>28</v>
      </c>
      <c r="J242" t="s">
        <v>25</v>
      </c>
      <c r="K242" t="s">
        <v>20</v>
      </c>
      <c r="L242" t="s">
        <v>32</v>
      </c>
      <c r="M242" t="s">
        <v>208</v>
      </c>
    </row>
    <row r="243" spans="1:13">
      <c r="A243" t="s">
        <v>13</v>
      </c>
      <c r="B243">
        <v>11623441</v>
      </c>
      <c r="C243" t="s">
        <v>207</v>
      </c>
      <c r="D243" t="s">
        <v>15</v>
      </c>
      <c r="E243" t="s">
        <v>16</v>
      </c>
      <c r="F243">
        <v>19</v>
      </c>
      <c r="G243" t="s">
        <v>37</v>
      </c>
      <c r="H243" t="s">
        <v>35</v>
      </c>
      <c r="I243" t="s">
        <v>30</v>
      </c>
      <c r="J243" t="s">
        <v>25</v>
      </c>
      <c r="K243" t="s">
        <v>20</v>
      </c>
      <c r="L243" t="s">
        <v>32</v>
      </c>
      <c r="M243" t="s">
        <v>208</v>
      </c>
    </row>
    <row r="244" spans="1:13">
      <c r="A244" t="s">
        <v>13</v>
      </c>
      <c r="B244">
        <v>11623441</v>
      </c>
      <c r="C244" t="s">
        <v>207</v>
      </c>
      <c r="D244" t="s">
        <v>15</v>
      </c>
      <c r="E244" t="s">
        <v>16</v>
      </c>
      <c r="F244">
        <v>20</v>
      </c>
      <c r="G244" t="s">
        <v>172</v>
      </c>
      <c r="H244" t="s">
        <v>172</v>
      </c>
      <c r="I244" t="s">
        <v>24</v>
      </c>
      <c r="J244" t="s">
        <v>25</v>
      </c>
      <c r="K244" t="s">
        <v>20</v>
      </c>
      <c r="L244" t="s">
        <v>26</v>
      </c>
      <c r="M244" t="s">
        <v>208</v>
      </c>
    </row>
    <row r="245" spans="1:13">
      <c r="A245" t="s">
        <v>13</v>
      </c>
      <c r="B245">
        <v>11623441</v>
      </c>
      <c r="C245" t="s">
        <v>207</v>
      </c>
      <c r="D245" t="s">
        <v>15</v>
      </c>
      <c r="E245" t="s">
        <v>16</v>
      </c>
      <c r="F245">
        <v>21</v>
      </c>
      <c r="G245" t="s">
        <v>173</v>
      </c>
      <c r="H245" t="s">
        <v>172</v>
      </c>
      <c r="I245" t="s">
        <v>28</v>
      </c>
      <c r="J245" t="s">
        <v>25</v>
      </c>
      <c r="K245" t="s">
        <v>20</v>
      </c>
      <c r="L245" t="s">
        <v>26</v>
      </c>
      <c r="M245" t="s">
        <v>208</v>
      </c>
    </row>
    <row r="246" spans="1:13">
      <c r="A246" t="s">
        <v>13</v>
      </c>
      <c r="B246">
        <v>11623441</v>
      </c>
      <c r="C246" t="s">
        <v>207</v>
      </c>
      <c r="D246" t="s">
        <v>15</v>
      </c>
      <c r="E246" t="s">
        <v>16</v>
      </c>
      <c r="F246">
        <v>22</v>
      </c>
      <c r="G246" t="s">
        <v>174</v>
      </c>
      <c r="H246" t="s">
        <v>172</v>
      </c>
      <c r="I246" t="s">
        <v>30</v>
      </c>
      <c r="J246" t="s">
        <v>25</v>
      </c>
      <c r="K246" t="s">
        <v>20</v>
      </c>
      <c r="L246" t="s">
        <v>26</v>
      </c>
      <c r="M246" t="s">
        <v>208</v>
      </c>
    </row>
    <row r="247" spans="1:13">
      <c r="A247" t="s">
        <v>13</v>
      </c>
      <c r="B247">
        <v>11623441</v>
      </c>
      <c r="C247" t="s">
        <v>207</v>
      </c>
      <c r="D247" t="s">
        <v>15</v>
      </c>
      <c r="E247" t="s">
        <v>16</v>
      </c>
      <c r="F247">
        <v>23</v>
      </c>
      <c r="G247" t="s">
        <v>44</v>
      </c>
      <c r="H247" t="s">
        <v>44</v>
      </c>
      <c r="I247" t="s">
        <v>24</v>
      </c>
      <c r="J247" t="s">
        <v>25</v>
      </c>
      <c r="K247" t="s">
        <v>20</v>
      </c>
      <c r="L247" t="s">
        <v>26</v>
      </c>
      <c r="M247" t="s">
        <v>208</v>
      </c>
    </row>
    <row r="248" spans="1:13">
      <c r="A248" t="s">
        <v>13</v>
      </c>
      <c r="B248">
        <v>11623441</v>
      </c>
      <c r="C248" t="s">
        <v>207</v>
      </c>
      <c r="D248" t="s">
        <v>15</v>
      </c>
      <c r="E248" t="s">
        <v>16</v>
      </c>
      <c r="F248">
        <v>24</v>
      </c>
      <c r="G248" t="s">
        <v>45</v>
      </c>
      <c r="H248" t="s">
        <v>44</v>
      </c>
      <c r="I248" t="s">
        <v>28</v>
      </c>
      <c r="J248" t="s">
        <v>25</v>
      </c>
      <c r="K248" t="s">
        <v>20</v>
      </c>
      <c r="L248" t="s">
        <v>26</v>
      </c>
      <c r="M248" t="s">
        <v>208</v>
      </c>
    </row>
    <row r="249" spans="1:13">
      <c r="A249" t="s">
        <v>13</v>
      </c>
      <c r="B249">
        <v>11623441</v>
      </c>
      <c r="C249" t="s">
        <v>207</v>
      </c>
      <c r="D249" t="s">
        <v>15</v>
      </c>
      <c r="E249" t="s">
        <v>16</v>
      </c>
      <c r="F249">
        <v>25</v>
      </c>
      <c r="G249" t="s">
        <v>46</v>
      </c>
      <c r="H249" t="s">
        <v>44</v>
      </c>
      <c r="I249" t="s">
        <v>30</v>
      </c>
      <c r="J249" t="s">
        <v>25</v>
      </c>
      <c r="K249" t="s">
        <v>20</v>
      </c>
      <c r="L249" t="s">
        <v>26</v>
      </c>
      <c r="M249" t="s">
        <v>208</v>
      </c>
    </row>
    <row r="250" spans="1:13">
      <c r="A250" t="s">
        <v>13</v>
      </c>
      <c r="B250">
        <v>11623441</v>
      </c>
      <c r="C250" t="s">
        <v>207</v>
      </c>
      <c r="D250" t="s">
        <v>15</v>
      </c>
      <c r="E250" t="s">
        <v>16</v>
      </c>
      <c r="F250">
        <v>26</v>
      </c>
      <c r="G250" t="s">
        <v>68</v>
      </c>
      <c r="H250" t="s">
        <v>68</v>
      </c>
      <c r="I250" t="s">
        <v>24</v>
      </c>
      <c r="J250" t="s">
        <v>25</v>
      </c>
      <c r="K250" t="s">
        <v>20</v>
      </c>
      <c r="L250" t="s">
        <v>26</v>
      </c>
      <c r="M250" t="s">
        <v>208</v>
      </c>
    </row>
    <row r="251" spans="1:13">
      <c r="A251" t="s">
        <v>13</v>
      </c>
      <c r="B251">
        <v>11623441</v>
      </c>
      <c r="C251" t="s">
        <v>207</v>
      </c>
      <c r="D251" t="s">
        <v>15</v>
      </c>
      <c r="E251" t="s">
        <v>16</v>
      </c>
      <c r="F251">
        <v>27</v>
      </c>
      <c r="G251" t="s">
        <v>69</v>
      </c>
      <c r="H251" t="s">
        <v>68</v>
      </c>
      <c r="I251" t="s">
        <v>28</v>
      </c>
      <c r="J251" t="s">
        <v>25</v>
      </c>
      <c r="K251" t="s">
        <v>20</v>
      </c>
      <c r="L251" t="s">
        <v>26</v>
      </c>
      <c r="M251" t="s">
        <v>208</v>
      </c>
    </row>
    <row r="252" spans="1:13">
      <c r="A252" t="s">
        <v>13</v>
      </c>
      <c r="B252">
        <v>11623441</v>
      </c>
      <c r="C252" t="s">
        <v>207</v>
      </c>
      <c r="D252" t="s">
        <v>15</v>
      </c>
      <c r="E252" t="s">
        <v>16</v>
      </c>
      <c r="F252">
        <v>28</v>
      </c>
      <c r="G252" t="s">
        <v>70</v>
      </c>
      <c r="H252" t="s">
        <v>68</v>
      </c>
      <c r="I252" t="s">
        <v>30</v>
      </c>
      <c r="J252" t="s">
        <v>25</v>
      </c>
      <c r="K252" t="s">
        <v>20</v>
      </c>
      <c r="L252" t="s">
        <v>26</v>
      </c>
      <c r="M252" t="s">
        <v>208</v>
      </c>
    </row>
    <row r="253" spans="1:13">
      <c r="A253" t="s">
        <v>13</v>
      </c>
      <c r="B253">
        <v>11623441</v>
      </c>
      <c r="C253" t="s">
        <v>207</v>
      </c>
      <c r="D253" t="s">
        <v>15</v>
      </c>
      <c r="E253" t="s">
        <v>16</v>
      </c>
      <c r="F253">
        <v>29</v>
      </c>
      <c r="G253" t="s">
        <v>215</v>
      </c>
      <c r="H253" t="s">
        <v>215</v>
      </c>
      <c r="I253" t="s">
        <v>24</v>
      </c>
      <c r="J253" t="s">
        <v>25</v>
      </c>
      <c r="K253" t="s">
        <v>20</v>
      </c>
      <c r="L253" t="s">
        <v>32</v>
      </c>
      <c r="M253" t="s">
        <v>208</v>
      </c>
    </row>
    <row r="254" spans="1:13">
      <c r="A254" t="s">
        <v>13</v>
      </c>
      <c r="B254">
        <v>11623441</v>
      </c>
      <c r="C254" t="s">
        <v>207</v>
      </c>
      <c r="D254" t="s">
        <v>15</v>
      </c>
      <c r="E254" t="s">
        <v>16</v>
      </c>
      <c r="F254">
        <v>30</v>
      </c>
      <c r="G254" t="s">
        <v>216</v>
      </c>
      <c r="H254" t="s">
        <v>215</v>
      </c>
      <c r="I254" t="s">
        <v>28</v>
      </c>
      <c r="J254" t="s">
        <v>25</v>
      </c>
      <c r="K254" t="s">
        <v>20</v>
      </c>
      <c r="L254" t="s">
        <v>32</v>
      </c>
      <c r="M254" t="s">
        <v>208</v>
      </c>
    </row>
    <row r="255" spans="1:13">
      <c r="A255" t="s">
        <v>13</v>
      </c>
      <c r="B255">
        <v>11623441</v>
      </c>
      <c r="C255" t="s">
        <v>207</v>
      </c>
      <c r="D255" t="s">
        <v>15</v>
      </c>
      <c r="E255" t="s">
        <v>16</v>
      </c>
      <c r="F255">
        <v>31</v>
      </c>
      <c r="G255" t="s">
        <v>217</v>
      </c>
      <c r="H255" t="s">
        <v>215</v>
      </c>
      <c r="I255" t="s">
        <v>30</v>
      </c>
      <c r="J255" t="s">
        <v>25</v>
      </c>
      <c r="K255" t="s">
        <v>20</v>
      </c>
      <c r="L255" t="s">
        <v>32</v>
      </c>
      <c r="M255" t="s">
        <v>208</v>
      </c>
    </row>
    <row r="256" spans="1:13">
      <c r="A256" t="s">
        <v>13</v>
      </c>
      <c r="B256">
        <v>11623441</v>
      </c>
      <c r="C256" t="s">
        <v>207</v>
      </c>
      <c r="D256" t="s">
        <v>15</v>
      </c>
      <c r="E256" t="s">
        <v>16</v>
      </c>
      <c r="F256">
        <v>32</v>
      </c>
      <c r="G256" t="s">
        <v>218</v>
      </c>
      <c r="H256" t="s">
        <v>218</v>
      </c>
      <c r="I256" t="s">
        <v>24</v>
      </c>
      <c r="J256" t="s">
        <v>25</v>
      </c>
      <c r="K256" t="s">
        <v>20</v>
      </c>
      <c r="L256" t="s">
        <v>26</v>
      </c>
      <c r="M256" t="s">
        <v>208</v>
      </c>
    </row>
    <row r="257" spans="1:13">
      <c r="A257" t="s">
        <v>13</v>
      </c>
      <c r="B257">
        <v>11623441</v>
      </c>
      <c r="C257" t="s">
        <v>207</v>
      </c>
      <c r="D257" t="s">
        <v>15</v>
      </c>
      <c r="E257" t="s">
        <v>16</v>
      </c>
      <c r="F257">
        <v>33</v>
      </c>
      <c r="G257" t="s">
        <v>219</v>
      </c>
      <c r="H257" t="s">
        <v>218</v>
      </c>
      <c r="I257" t="s">
        <v>28</v>
      </c>
      <c r="J257" t="s">
        <v>25</v>
      </c>
      <c r="K257" t="s">
        <v>20</v>
      </c>
      <c r="L257" t="s">
        <v>26</v>
      </c>
      <c r="M257" t="s">
        <v>208</v>
      </c>
    </row>
    <row r="258" spans="1:13">
      <c r="A258" t="s">
        <v>13</v>
      </c>
      <c r="B258">
        <v>11623441</v>
      </c>
      <c r="C258" t="s">
        <v>207</v>
      </c>
      <c r="D258" t="s">
        <v>15</v>
      </c>
      <c r="E258" t="s">
        <v>16</v>
      </c>
      <c r="F258">
        <v>34</v>
      </c>
      <c r="G258" t="s">
        <v>220</v>
      </c>
      <c r="H258" t="s">
        <v>218</v>
      </c>
      <c r="I258" t="s">
        <v>30</v>
      </c>
      <c r="J258" t="s">
        <v>25</v>
      </c>
      <c r="K258" t="s">
        <v>20</v>
      </c>
      <c r="L258" t="s">
        <v>26</v>
      </c>
      <c r="M258" t="s">
        <v>208</v>
      </c>
    </row>
    <row r="259" spans="1:13">
      <c r="A259" t="s">
        <v>13</v>
      </c>
      <c r="B259">
        <v>11623441</v>
      </c>
      <c r="C259" t="s">
        <v>207</v>
      </c>
      <c r="D259" t="s">
        <v>15</v>
      </c>
      <c r="E259" t="s">
        <v>16</v>
      </c>
      <c r="F259">
        <v>35</v>
      </c>
      <c r="G259" t="s">
        <v>59</v>
      </c>
      <c r="H259" t="s">
        <v>59</v>
      </c>
      <c r="I259" t="s">
        <v>24</v>
      </c>
      <c r="J259" t="s">
        <v>25</v>
      </c>
      <c r="K259" t="s">
        <v>20</v>
      </c>
      <c r="L259" t="s">
        <v>32</v>
      </c>
      <c r="M259" t="s">
        <v>208</v>
      </c>
    </row>
    <row r="260" spans="1:13">
      <c r="A260" t="s">
        <v>13</v>
      </c>
      <c r="B260">
        <v>11623441</v>
      </c>
      <c r="C260" t="s">
        <v>207</v>
      </c>
      <c r="D260" t="s">
        <v>15</v>
      </c>
      <c r="E260" t="s">
        <v>16</v>
      </c>
      <c r="F260">
        <v>36</v>
      </c>
      <c r="G260" t="s">
        <v>60</v>
      </c>
      <c r="H260" t="s">
        <v>59</v>
      </c>
      <c r="I260" t="s">
        <v>28</v>
      </c>
      <c r="J260" t="s">
        <v>25</v>
      </c>
      <c r="K260" t="s">
        <v>20</v>
      </c>
      <c r="L260" t="s">
        <v>32</v>
      </c>
      <c r="M260" t="s">
        <v>208</v>
      </c>
    </row>
    <row r="261" spans="1:13">
      <c r="A261" t="s">
        <v>13</v>
      </c>
      <c r="B261">
        <v>11623441</v>
      </c>
      <c r="C261" t="s">
        <v>207</v>
      </c>
      <c r="D261" t="s">
        <v>15</v>
      </c>
      <c r="E261" t="s">
        <v>16</v>
      </c>
      <c r="F261">
        <v>37</v>
      </c>
      <c r="G261" t="s">
        <v>61</v>
      </c>
      <c r="H261" t="s">
        <v>59</v>
      </c>
      <c r="I261" t="s">
        <v>30</v>
      </c>
      <c r="J261" t="s">
        <v>25</v>
      </c>
      <c r="K261" t="s">
        <v>20</v>
      </c>
      <c r="L261" t="s">
        <v>32</v>
      </c>
      <c r="M261" t="s">
        <v>208</v>
      </c>
    </row>
    <row r="262" spans="1:13">
      <c r="A262" t="s">
        <v>13</v>
      </c>
      <c r="B262">
        <v>11623441</v>
      </c>
      <c r="C262" t="s">
        <v>207</v>
      </c>
      <c r="D262" t="s">
        <v>15</v>
      </c>
      <c r="E262" t="s">
        <v>16</v>
      </c>
      <c r="F262">
        <v>38</v>
      </c>
      <c r="G262" t="s">
        <v>56</v>
      </c>
      <c r="H262" t="s">
        <v>56</v>
      </c>
      <c r="I262" t="s">
        <v>24</v>
      </c>
      <c r="J262" t="s">
        <v>25</v>
      </c>
      <c r="K262" t="s">
        <v>20</v>
      </c>
      <c r="L262" t="s">
        <v>32</v>
      </c>
      <c r="M262" t="s">
        <v>208</v>
      </c>
    </row>
    <row r="263" spans="1:13">
      <c r="A263" t="s">
        <v>13</v>
      </c>
      <c r="B263">
        <v>11623441</v>
      </c>
      <c r="C263" t="s">
        <v>207</v>
      </c>
      <c r="D263" t="s">
        <v>15</v>
      </c>
      <c r="E263" t="s">
        <v>16</v>
      </c>
      <c r="F263">
        <v>39</v>
      </c>
      <c r="G263" t="s">
        <v>57</v>
      </c>
      <c r="H263" t="s">
        <v>56</v>
      </c>
      <c r="I263" t="s">
        <v>28</v>
      </c>
      <c r="J263" t="s">
        <v>25</v>
      </c>
      <c r="K263" t="s">
        <v>20</v>
      </c>
      <c r="L263" t="s">
        <v>32</v>
      </c>
      <c r="M263" t="s">
        <v>208</v>
      </c>
    </row>
    <row r="264" spans="1:13">
      <c r="A264" t="s">
        <v>13</v>
      </c>
      <c r="B264">
        <v>11623441</v>
      </c>
      <c r="C264" t="s">
        <v>207</v>
      </c>
      <c r="D264" t="s">
        <v>15</v>
      </c>
      <c r="E264" t="s">
        <v>16</v>
      </c>
      <c r="F264">
        <v>40</v>
      </c>
      <c r="G264" t="s">
        <v>58</v>
      </c>
      <c r="H264" t="s">
        <v>56</v>
      </c>
      <c r="I264" t="s">
        <v>30</v>
      </c>
      <c r="J264" t="s">
        <v>25</v>
      </c>
      <c r="K264" t="s">
        <v>20</v>
      </c>
      <c r="L264" t="s">
        <v>32</v>
      </c>
      <c r="M264" t="s">
        <v>208</v>
      </c>
    </row>
    <row r="265" spans="1:13">
      <c r="A265" t="s">
        <v>13</v>
      </c>
      <c r="B265">
        <v>11623441</v>
      </c>
      <c r="C265" t="s">
        <v>207</v>
      </c>
      <c r="D265" t="s">
        <v>15</v>
      </c>
      <c r="E265" t="s">
        <v>16</v>
      </c>
      <c r="F265">
        <v>41</v>
      </c>
      <c r="G265" t="s">
        <v>169</v>
      </c>
      <c r="H265" t="s">
        <v>169</v>
      </c>
      <c r="I265" t="s">
        <v>24</v>
      </c>
      <c r="J265" t="s">
        <v>25</v>
      </c>
      <c r="K265" t="s">
        <v>20</v>
      </c>
      <c r="L265" t="s">
        <v>26</v>
      </c>
      <c r="M265" t="s">
        <v>208</v>
      </c>
    </row>
    <row r="266" spans="1:13">
      <c r="A266" t="s">
        <v>13</v>
      </c>
      <c r="B266">
        <v>11623441</v>
      </c>
      <c r="C266" t="s">
        <v>207</v>
      </c>
      <c r="D266" t="s">
        <v>15</v>
      </c>
      <c r="E266" t="s">
        <v>16</v>
      </c>
      <c r="F266">
        <v>42</v>
      </c>
      <c r="G266" t="s">
        <v>170</v>
      </c>
      <c r="H266" t="s">
        <v>169</v>
      </c>
      <c r="I266" t="s">
        <v>28</v>
      </c>
      <c r="J266" t="s">
        <v>25</v>
      </c>
      <c r="K266" t="s">
        <v>20</v>
      </c>
      <c r="L266" t="s">
        <v>26</v>
      </c>
      <c r="M266" t="s">
        <v>208</v>
      </c>
    </row>
    <row r="267" spans="1:13">
      <c r="A267" t="s">
        <v>13</v>
      </c>
      <c r="B267">
        <v>11623441</v>
      </c>
      <c r="C267" t="s">
        <v>207</v>
      </c>
      <c r="D267" t="s">
        <v>15</v>
      </c>
      <c r="E267" t="s">
        <v>16</v>
      </c>
      <c r="F267">
        <v>43</v>
      </c>
      <c r="G267" t="s">
        <v>171</v>
      </c>
      <c r="H267" t="s">
        <v>169</v>
      </c>
      <c r="I267" t="s">
        <v>30</v>
      </c>
      <c r="J267" t="s">
        <v>25</v>
      </c>
      <c r="K267" t="s">
        <v>20</v>
      </c>
      <c r="L267" t="s">
        <v>26</v>
      </c>
      <c r="M267" t="s">
        <v>208</v>
      </c>
    </row>
    <row r="268" spans="1:13">
      <c r="A268" t="s">
        <v>13</v>
      </c>
      <c r="B268">
        <v>11623441</v>
      </c>
      <c r="C268" t="s">
        <v>207</v>
      </c>
      <c r="D268" t="s">
        <v>15</v>
      </c>
      <c r="E268" t="s">
        <v>16</v>
      </c>
      <c r="F268">
        <v>44</v>
      </c>
      <c r="G268" t="s">
        <v>221</v>
      </c>
      <c r="H268" t="s">
        <v>221</v>
      </c>
      <c r="I268" t="s">
        <v>24</v>
      </c>
      <c r="J268" t="s">
        <v>25</v>
      </c>
      <c r="K268" t="s">
        <v>20</v>
      </c>
      <c r="L268" t="s">
        <v>32</v>
      </c>
      <c r="M268" t="s">
        <v>208</v>
      </c>
    </row>
    <row r="269" spans="1:13">
      <c r="A269" t="s">
        <v>13</v>
      </c>
      <c r="B269">
        <v>11623441</v>
      </c>
      <c r="C269" t="s">
        <v>207</v>
      </c>
      <c r="D269" t="s">
        <v>15</v>
      </c>
      <c r="E269" t="s">
        <v>16</v>
      </c>
      <c r="F269">
        <v>45</v>
      </c>
      <c r="G269" t="s">
        <v>222</v>
      </c>
      <c r="H269" t="s">
        <v>221</v>
      </c>
      <c r="I269" t="s">
        <v>28</v>
      </c>
      <c r="J269" t="s">
        <v>25</v>
      </c>
      <c r="K269" t="s">
        <v>20</v>
      </c>
      <c r="L269" t="s">
        <v>32</v>
      </c>
      <c r="M269" t="s">
        <v>208</v>
      </c>
    </row>
    <row r="270" spans="1:13">
      <c r="A270" t="s">
        <v>13</v>
      </c>
      <c r="B270">
        <v>11623441</v>
      </c>
      <c r="C270" t="s">
        <v>207</v>
      </c>
      <c r="D270" t="s">
        <v>15</v>
      </c>
      <c r="E270" t="s">
        <v>16</v>
      </c>
      <c r="F270">
        <v>46</v>
      </c>
      <c r="G270" t="s">
        <v>223</v>
      </c>
      <c r="H270" t="s">
        <v>221</v>
      </c>
      <c r="I270" t="s">
        <v>30</v>
      </c>
      <c r="J270" t="s">
        <v>25</v>
      </c>
      <c r="K270" t="s">
        <v>20</v>
      </c>
      <c r="L270" t="s">
        <v>32</v>
      </c>
      <c r="M270" t="s">
        <v>208</v>
      </c>
    </row>
    <row r="271" spans="1:13">
      <c r="A271" t="s">
        <v>13</v>
      </c>
      <c r="B271">
        <v>11623441</v>
      </c>
      <c r="C271" t="s">
        <v>207</v>
      </c>
      <c r="D271" t="s">
        <v>15</v>
      </c>
      <c r="E271" t="s">
        <v>16</v>
      </c>
      <c r="F271">
        <v>47</v>
      </c>
      <c r="G271" t="s">
        <v>77</v>
      </c>
      <c r="H271" t="s">
        <v>77</v>
      </c>
      <c r="I271" t="s">
        <v>24</v>
      </c>
      <c r="J271" t="s">
        <v>25</v>
      </c>
      <c r="K271" t="s">
        <v>20</v>
      </c>
      <c r="L271" t="s">
        <v>32</v>
      </c>
      <c r="M271" t="s">
        <v>208</v>
      </c>
    </row>
    <row r="272" spans="1:13">
      <c r="A272" t="s">
        <v>13</v>
      </c>
      <c r="B272">
        <v>11623441</v>
      </c>
      <c r="C272" t="s">
        <v>207</v>
      </c>
      <c r="D272" t="s">
        <v>15</v>
      </c>
      <c r="E272" t="s">
        <v>16</v>
      </c>
      <c r="F272">
        <v>48</v>
      </c>
      <c r="G272" t="s">
        <v>78</v>
      </c>
      <c r="H272" t="s">
        <v>77</v>
      </c>
      <c r="I272" t="s">
        <v>28</v>
      </c>
      <c r="J272" t="s">
        <v>25</v>
      </c>
      <c r="K272" t="s">
        <v>20</v>
      </c>
      <c r="L272" t="s">
        <v>32</v>
      </c>
      <c r="M272" t="s">
        <v>208</v>
      </c>
    </row>
    <row r="273" spans="1:13">
      <c r="A273" t="s">
        <v>13</v>
      </c>
      <c r="B273">
        <v>11623441</v>
      </c>
      <c r="C273" t="s">
        <v>207</v>
      </c>
      <c r="D273" t="s">
        <v>15</v>
      </c>
      <c r="E273" t="s">
        <v>16</v>
      </c>
      <c r="F273">
        <v>49</v>
      </c>
      <c r="G273" t="s">
        <v>79</v>
      </c>
      <c r="H273" t="s">
        <v>77</v>
      </c>
      <c r="I273" t="s">
        <v>30</v>
      </c>
      <c r="J273" t="s">
        <v>25</v>
      </c>
      <c r="K273" t="s">
        <v>20</v>
      </c>
      <c r="L273" t="s">
        <v>32</v>
      </c>
      <c r="M273" t="s">
        <v>208</v>
      </c>
    </row>
    <row r="274" spans="1:13">
      <c r="A274" t="s">
        <v>13</v>
      </c>
      <c r="B274">
        <v>11623441</v>
      </c>
      <c r="C274" t="s">
        <v>207</v>
      </c>
      <c r="D274" t="s">
        <v>15</v>
      </c>
      <c r="E274" t="s">
        <v>16</v>
      </c>
      <c r="F274">
        <v>50</v>
      </c>
      <c r="G274" t="s">
        <v>80</v>
      </c>
      <c r="H274" t="s">
        <v>80</v>
      </c>
      <c r="I274" t="s">
        <v>24</v>
      </c>
      <c r="J274" t="s">
        <v>25</v>
      </c>
      <c r="K274" t="s">
        <v>20</v>
      </c>
      <c r="L274" t="s">
        <v>32</v>
      </c>
      <c r="M274" t="s">
        <v>208</v>
      </c>
    </row>
    <row r="275" spans="1:13">
      <c r="A275" t="s">
        <v>13</v>
      </c>
      <c r="B275">
        <v>11623441</v>
      </c>
      <c r="C275" t="s">
        <v>207</v>
      </c>
      <c r="D275" t="s">
        <v>15</v>
      </c>
      <c r="E275" t="s">
        <v>16</v>
      </c>
      <c r="F275">
        <v>51</v>
      </c>
      <c r="G275" t="s">
        <v>81</v>
      </c>
      <c r="H275" t="s">
        <v>80</v>
      </c>
      <c r="I275" t="s">
        <v>28</v>
      </c>
      <c r="J275" t="s">
        <v>25</v>
      </c>
      <c r="K275" t="s">
        <v>20</v>
      </c>
      <c r="L275" t="s">
        <v>32</v>
      </c>
      <c r="M275" t="s">
        <v>208</v>
      </c>
    </row>
    <row r="276" spans="1:13">
      <c r="A276" t="s">
        <v>13</v>
      </c>
      <c r="B276">
        <v>11623441</v>
      </c>
      <c r="C276" t="s">
        <v>207</v>
      </c>
      <c r="D276" t="s">
        <v>15</v>
      </c>
      <c r="E276" t="s">
        <v>16</v>
      </c>
      <c r="F276">
        <v>52</v>
      </c>
      <c r="G276" t="s">
        <v>82</v>
      </c>
      <c r="H276" t="s">
        <v>80</v>
      </c>
      <c r="I276" t="s">
        <v>30</v>
      </c>
      <c r="J276" t="s">
        <v>25</v>
      </c>
      <c r="K276" t="s">
        <v>20</v>
      </c>
      <c r="L276" t="s">
        <v>32</v>
      </c>
      <c r="M276" t="s">
        <v>208</v>
      </c>
    </row>
    <row r="277" spans="1:13">
      <c r="A277" t="s">
        <v>13</v>
      </c>
      <c r="B277">
        <v>11623441</v>
      </c>
      <c r="C277" t="s">
        <v>207</v>
      </c>
      <c r="D277" t="s">
        <v>15</v>
      </c>
      <c r="E277" t="s">
        <v>16</v>
      </c>
      <c r="F277">
        <v>53</v>
      </c>
      <c r="G277" t="s">
        <v>83</v>
      </c>
      <c r="H277" t="s">
        <v>83</v>
      </c>
      <c r="I277" t="s">
        <v>24</v>
      </c>
      <c r="J277" t="s">
        <v>25</v>
      </c>
      <c r="K277" t="s">
        <v>20</v>
      </c>
      <c r="L277" t="s">
        <v>32</v>
      </c>
      <c r="M277" t="s">
        <v>208</v>
      </c>
    </row>
    <row r="278" spans="1:13">
      <c r="A278" t="s">
        <v>13</v>
      </c>
      <c r="B278">
        <v>11623441</v>
      </c>
      <c r="C278" t="s">
        <v>207</v>
      </c>
      <c r="D278" t="s">
        <v>15</v>
      </c>
      <c r="E278" t="s">
        <v>16</v>
      </c>
      <c r="F278">
        <v>54</v>
      </c>
      <c r="G278" t="s">
        <v>84</v>
      </c>
      <c r="H278" t="s">
        <v>83</v>
      </c>
      <c r="I278" t="s">
        <v>28</v>
      </c>
      <c r="J278" t="s">
        <v>25</v>
      </c>
      <c r="K278" t="s">
        <v>20</v>
      </c>
      <c r="L278" t="s">
        <v>32</v>
      </c>
      <c r="M278" t="s">
        <v>208</v>
      </c>
    </row>
    <row r="279" spans="1:13">
      <c r="A279" t="s">
        <v>13</v>
      </c>
      <c r="B279">
        <v>11623441</v>
      </c>
      <c r="C279" t="s">
        <v>207</v>
      </c>
      <c r="D279" t="s">
        <v>15</v>
      </c>
      <c r="E279" t="s">
        <v>16</v>
      </c>
      <c r="F279">
        <v>55</v>
      </c>
      <c r="G279" t="s">
        <v>85</v>
      </c>
      <c r="H279" t="s">
        <v>83</v>
      </c>
      <c r="I279" t="s">
        <v>30</v>
      </c>
      <c r="J279" t="s">
        <v>25</v>
      </c>
      <c r="K279" t="s">
        <v>20</v>
      </c>
      <c r="L279" t="s">
        <v>32</v>
      </c>
      <c r="M279" t="s">
        <v>208</v>
      </c>
    </row>
    <row r="280" spans="1:13">
      <c r="A280" t="s">
        <v>13</v>
      </c>
      <c r="B280">
        <v>11623441</v>
      </c>
      <c r="C280" t="s">
        <v>207</v>
      </c>
      <c r="D280" t="s">
        <v>15</v>
      </c>
      <c r="E280" t="s">
        <v>16</v>
      </c>
      <c r="F280">
        <v>56</v>
      </c>
      <c r="G280" t="s">
        <v>86</v>
      </c>
      <c r="H280" t="s">
        <v>86</v>
      </c>
      <c r="I280" t="s">
        <v>24</v>
      </c>
      <c r="J280" t="s">
        <v>25</v>
      </c>
      <c r="K280" t="s">
        <v>20</v>
      </c>
      <c r="L280" t="s">
        <v>26</v>
      </c>
      <c r="M280" t="s">
        <v>208</v>
      </c>
    </row>
    <row r="281" spans="1:13">
      <c r="A281" t="s">
        <v>13</v>
      </c>
      <c r="B281">
        <v>11623441</v>
      </c>
      <c r="C281" t="s">
        <v>207</v>
      </c>
      <c r="D281" t="s">
        <v>15</v>
      </c>
      <c r="E281" t="s">
        <v>16</v>
      </c>
      <c r="F281">
        <v>57</v>
      </c>
      <c r="G281" t="s">
        <v>87</v>
      </c>
      <c r="H281" t="s">
        <v>86</v>
      </c>
      <c r="I281" t="s">
        <v>28</v>
      </c>
      <c r="J281" t="s">
        <v>25</v>
      </c>
      <c r="K281" t="s">
        <v>20</v>
      </c>
      <c r="L281" t="s">
        <v>26</v>
      </c>
      <c r="M281" t="s">
        <v>208</v>
      </c>
    </row>
    <row r="282" spans="1:13">
      <c r="A282" t="s">
        <v>13</v>
      </c>
      <c r="B282">
        <v>11623441</v>
      </c>
      <c r="C282" t="s">
        <v>207</v>
      </c>
      <c r="D282" t="s">
        <v>15</v>
      </c>
      <c r="E282" t="s">
        <v>16</v>
      </c>
      <c r="F282">
        <v>58</v>
      </c>
      <c r="G282" t="s">
        <v>88</v>
      </c>
      <c r="H282" t="s">
        <v>86</v>
      </c>
      <c r="I282" t="s">
        <v>30</v>
      </c>
      <c r="J282" t="s">
        <v>25</v>
      </c>
      <c r="K282" t="s">
        <v>20</v>
      </c>
      <c r="L282" t="s">
        <v>26</v>
      </c>
      <c r="M282" t="s">
        <v>208</v>
      </c>
    </row>
    <row r="283" spans="1:13">
      <c r="A283" t="s">
        <v>13</v>
      </c>
      <c r="B283">
        <v>11623441</v>
      </c>
      <c r="C283" t="s">
        <v>207</v>
      </c>
      <c r="D283" t="s">
        <v>15</v>
      </c>
      <c r="E283" t="s">
        <v>16</v>
      </c>
      <c r="F283">
        <v>59</v>
      </c>
      <c r="G283" t="s">
        <v>224</v>
      </c>
      <c r="H283" t="s">
        <v>224</v>
      </c>
      <c r="I283" t="s">
        <v>24</v>
      </c>
      <c r="J283" t="s">
        <v>25</v>
      </c>
      <c r="K283" t="s">
        <v>20</v>
      </c>
      <c r="L283" t="s">
        <v>32</v>
      </c>
      <c r="M283" t="s">
        <v>208</v>
      </c>
    </row>
    <row r="284" spans="1:13">
      <c r="A284" t="s">
        <v>13</v>
      </c>
      <c r="B284">
        <v>11623441</v>
      </c>
      <c r="C284" t="s">
        <v>207</v>
      </c>
      <c r="D284" t="s">
        <v>15</v>
      </c>
      <c r="E284" t="s">
        <v>16</v>
      </c>
      <c r="F284">
        <v>60</v>
      </c>
      <c r="G284" t="s">
        <v>225</v>
      </c>
      <c r="H284" t="s">
        <v>224</v>
      </c>
      <c r="I284" t="s">
        <v>28</v>
      </c>
      <c r="J284" t="s">
        <v>25</v>
      </c>
      <c r="K284" t="s">
        <v>20</v>
      </c>
      <c r="L284" t="s">
        <v>32</v>
      </c>
      <c r="M284" t="s">
        <v>208</v>
      </c>
    </row>
    <row r="285" spans="1:13">
      <c r="A285" t="s">
        <v>13</v>
      </c>
      <c r="B285">
        <v>11623441</v>
      </c>
      <c r="C285" t="s">
        <v>207</v>
      </c>
      <c r="D285" t="s">
        <v>15</v>
      </c>
      <c r="E285" t="s">
        <v>16</v>
      </c>
      <c r="F285">
        <v>61</v>
      </c>
      <c r="G285" t="s">
        <v>226</v>
      </c>
      <c r="H285" t="s">
        <v>224</v>
      </c>
      <c r="I285" t="s">
        <v>30</v>
      </c>
      <c r="J285" t="s">
        <v>25</v>
      </c>
      <c r="K285" t="s">
        <v>20</v>
      </c>
      <c r="L285" t="s">
        <v>32</v>
      </c>
      <c r="M285" t="s">
        <v>208</v>
      </c>
    </row>
    <row r="286" spans="1:13">
      <c r="A286" t="s">
        <v>13</v>
      </c>
      <c r="B286">
        <v>11623441</v>
      </c>
      <c r="C286" t="s">
        <v>227</v>
      </c>
      <c r="D286" t="s">
        <v>176</v>
      </c>
      <c r="E286" t="s">
        <v>228</v>
      </c>
      <c r="F286">
        <v>1</v>
      </c>
      <c r="G286" t="s">
        <v>17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229</v>
      </c>
    </row>
    <row r="287" spans="1:13">
      <c r="A287" t="s">
        <v>13</v>
      </c>
      <c r="B287">
        <v>11623441</v>
      </c>
      <c r="C287" t="s">
        <v>227</v>
      </c>
      <c r="D287" t="s">
        <v>176</v>
      </c>
      <c r="E287" t="s">
        <v>228</v>
      </c>
      <c r="F287">
        <v>2</v>
      </c>
      <c r="G287" t="s">
        <v>230</v>
      </c>
      <c r="H287" t="s">
        <v>230</v>
      </c>
      <c r="I287" t="s">
        <v>18</v>
      </c>
      <c r="J287" t="s">
        <v>19</v>
      </c>
      <c r="K287" t="s">
        <v>20</v>
      </c>
      <c r="L287" t="s">
        <v>21</v>
      </c>
      <c r="M287" t="s">
        <v>229</v>
      </c>
    </row>
    <row r="288" spans="1:13">
      <c r="A288" t="s">
        <v>13</v>
      </c>
      <c r="B288">
        <v>11623441</v>
      </c>
      <c r="C288" t="s">
        <v>227</v>
      </c>
      <c r="D288" t="s">
        <v>176</v>
      </c>
      <c r="E288" t="s">
        <v>228</v>
      </c>
      <c r="F288">
        <v>3</v>
      </c>
      <c r="G288" t="s">
        <v>231</v>
      </c>
      <c r="H288" t="s">
        <v>231</v>
      </c>
      <c r="I288" t="s">
        <v>18</v>
      </c>
      <c r="J288" t="s">
        <v>19</v>
      </c>
      <c r="K288" t="s">
        <v>20</v>
      </c>
      <c r="L288" t="s">
        <v>21</v>
      </c>
      <c r="M288" t="s">
        <v>229</v>
      </c>
    </row>
    <row r="289" spans="1:13">
      <c r="A289" t="s">
        <v>13</v>
      </c>
      <c r="B289">
        <v>11623441</v>
      </c>
      <c r="C289" t="s">
        <v>227</v>
      </c>
      <c r="D289" t="s">
        <v>176</v>
      </c>
      <c r="E289" t="s">
        <v>228</v>
      </c>
      <c r="F289">
        <v>4</v>
      </c>
      <c r="G289" t="s">
        <v>232</v>
      </c>
      <c r="H289" t="s">
        <v>232</v>
      </c>
      <c r="I289" t="s">
        <v>18</v>
      </c>
      <c r="J289" t="s">
        <v>19</v>
      </c>
      <c r="K289" t="s">
        <v>20</v>
      </c>
      <c r="L289" t="s">
        <v>21</v>
      </c>
      <c r="M289" t="s">
        <v>229</v>
      </c>
    </row>
    <row r="290" spans="1:13">
      <c r="A290" t="s">
        <v>13</v>
      </c>
      <c r="B290">
        <v>11623441</v>
      </c>
      <c r="C290" t="s">
        <v>227</v>
      </c>
      <c r="D290" t="s">
        <v>176</v>
      </c>
      <c r="E290" t="s">
        <v>228</v>
      </c>
      <c r="F290">
        <v>5</v>
      </c>
      <c r="G290" t="s">
        <v>233</v>
      </c>
      <c r="H290" t="s">
        <v>233</v>
      </c>
      <c r="I290" t="s">
        <v>18</v>
      </c>
      <c r="J290" t="s">
        <v>19</v>
      </c>
      <c r="K290" t="s">
        <v>20</v>
      </c>
      <c r="L290" t="s">
        <v>21</v>
      </c>
      <c r="M290" t="s">
        <v>229</v>
      </c>
    </row>
    <row r="291" spans="1:13">
      <c r="A291" t="s">
        <v>13</v>
      </c>
      <c r="B291">
        <v>11623441</v>
      </c>
      <c r="C291" t="s">
        <v>227</v>
      </c>
      <c r="D291" t="s">
        <v>176</v>
      </c>
      <c r="E291" t="s">
        <v>228</v>
      </c>
      <c r="F291">
        <v>6</v>
      </c>
      <c r="G291" t="s">
        <v>234</v>
      </c>
      <c r="H291" t="s">
        <v>234</v>
      </c>
      <c r="I291" t="s">
        <v>18</v>
      </c>
      <c r="J291" t="s">
        <v>19</v>
      </c>
      <c r="K291" t="s">
        <v>20</v>
      </c>
      <c r="L291" t="s">
        <v>21</v>
      </c>
      <c r="M291" t="s">
        <v>229</v>
      </c>
    </row>
    <row r="292" spans="1:13">
      <c r="A292" t="s">
        <v>13</v>
      </c>
      <c r="B292">
        <v>11623441</v>
      </c>
      <c r="C292" t="s">
        <v>227</v>
      </c>
      <c r="D292" t="s">
        <v>176</v>
      </c>
      <c r="E292" t="s">
        <v>228</v>
      </c>
      <c r="F292">
        <v>7</v>
      </c>
      <c r="G292" t="s">
        <v>235</v>
      </c>
      <c r="H292" t="s">
        <v>235</v>
      </c>
      <c r="I292" t="s">
        <v>18</v>
      </c>
      <c r="J292" t="s">
        <v>19</v>
      </c>
      <c r="K292" t="s">
        <v>20</v>
      </c>
      <c r="L292" t="s">
        <v>21</v>
      </c>
      <c r="M292" t="s">
        <v>229</v>
      </c>
    </row>
    <row r="293" spans="1:13">
      <c r="A293" t="s">
        <v>13</v>
      </c>
      <c r="B293">
        <v>11623441</v>
      </c>
      <c r="C293" t="s">
        <v>227</v>
      </c>
      <c r="D293" t="s">
        <v>176</v>
      </c>
      <c r="E293" t="s">
        <v>228</v>
      </c>
      <c r="F293">
        <v>8</v>
      </c>
      <c r="G293" t="s">
        <v>23</v>
      </c>
      <c r="H293" t="s">
        <v>23</v>
      </c>
      <c r="I293" t="s">
        <v>24</v>
      </c>
      <c r="J293" t="s">
        <v>25</v>
      </c>
      <c r="K293" t="s">
        <v>20</v>
      </c>
      <c r="L293" t="s">
        <v>26</v>
      </c>
      <c r="M293" t="s">
        <v>229</v>
      </c>
    </row>
    <row r="294" spans="1:13">
      <c r="A294" t="s">
        <v>13</v>
      </c>
      <c r="B294">
        <v>11623441</v>
      </c>
      <c r="C294" t="s">
        <v>227</v>
      </c>
      <c r="D294" t="s">
        <v>176</v>
      </c>
      <c r="E294" t="s">
        <v>228</v>
      </c>
      <c r="F294">
        <v>9</v>
      </c>
      <c r="G294" t="s">
        <v>31</v>
      </c>
      <c r="H294" t="s">
        <v>31</v>
      </c>
      <c r="I294" t="s">
        <v>24</v>
      </c>
      <c r="J294" t="s">
        <v>25</v>
      </c>
      <c r="K294" t="s">
        <v>20</v>
      </c>
      <c r="L294" t="s">
        <v>32</v>
      </c>
      <c r="M294" t="s">
        <v>229</v>
      </c>
    </row>
    <row r="295" spans="1:13">
      <c r="A295" t="s">
        <v>13</v>
      </c>
      <c r="B295">
        <v>11623441</v>
      </c>
      <c r="C295" t="s">
        <v>227</v>
      </c>
      <c r="D295" t="s">
        <v>176</v>
      </c>
      <c r="E295" t="s">
        <v>228</v>
      </c>
      <c r="F295">
        <v>10</v>
      </c>
      <c r="G295" t="s">
        <v>38</v>
      </c>
      <c r="H295" t="s">
        <v>38</v>
      </c>
      <c r="I295" t="s">
        <v>24</v>
      </c>
      <c r="J295" t="s">
        <v>25</v>
      </c>
      <c r="K295" t="s">
        <v>20</v>
      </c>
      <c r="L295" t="s">
        <v>32</v>
      </c>
      <c r="M295" t="s">
        <v>229</v>
      </c>
    </row>
    <row r="296" spans="1:13">
      <c r="A296" t="s">
        <v>13</v>
      </c>
      <c r="B296">
        <v>11623441</v>
      </c>
      <c r="C296" t="s">
        <v>227</v>
      </c>
      <c r="D296" t="s">
        <v>176</v>
      </c>
      <c r="E296" t="s">
        <v>228</v>
      </c>
      <c r="F296">
        <v>11</v>
      </c>
      <c r="G296" t="s">
        <v>35</v>
      </c>
      <c r="H296" t="s">
        <v>35</v>
      </c>
      <c r="I296" t="s">
        <v>24</v>
      </c>
      <c r="J296" t="s">
        <v>25</v>
      </c>
      <c r="K296" t="s">
        <v>20</v>
      </c>
      <c r="L296" t="s">
        <v>32</v>
      </c>
      <c r="M296" t="s">
        <v>229</v>
      </c>
    </row>
    <row r="297" spans="1:13">
      <c r="A297" t="s">
        <v>13</v>
      </c>
      <c r="B297">
        <v>11623441</v>
      </c>
      <c r="C297" t="s">
        <v>227</v>
      </c>
      <c r="D297" t="s">
        <v>176</v>
      </c>
      <c r="E297" t="s">
        <v>228</v>
      </c>
      <c r="F297">
        <v>12</v>
      </c>
      <c r="G297" t="s">
        <v>172</v>
      </c>
      <c r="H297" t="s">
        <v>172</v>
      </c>
      <c r="I297" t="s">
        <v>24</v>
      </c>
      <c r="J297" t="s">
        <v>25</v>
      </c>
      <c r="K297" t="s">
        <v>20</v>
      </c>
      <c r="L297" t="s">
        <v>26</v>
      </c>
      <c r="M297" t="s">
        <v>229</v>
      </c>
    </row>
    <row r="298" spans="1:13">
      <c r="A298" t="s">
        <v>13</v>
      </c>
      <c r="B298">
        <v>11623441</v>
      </c>
      <c r="C298" t="s">
        <v>227</v>
      </c>
      <c r="D298" t="s">
        <v>176</v>
      </c>
      <c r="E298" t="s">
        <v>228</v>
      </c>
      <c r="F298">
        <v>13</v>
      </c>
      <c r="G298" t="s">
        <v>44</v>
      </c>
      <c r="H298" t="s">
        <v>44</v>
      </c>
      <c r="I298" t="s">
        <v>24</v>
      </c>
      <c r="J298" t="s">
        <v>25</v>
      </c>
      <c r="K298" t="s">
        <v>20</v>
      </c>
      <c r="L298" t="s">
        <v>26</v>
      </c>
      <c r="M298" t="s">
        <v>229</v>
      </c>
    </row>
    <row r="299" spans="1:13">
      <c r="A299" t="s">
        <v>13</v>
      </c>
      <c r="B299">
        <v>11623441</v>
      </c>
      <c r="C299" t="s">
        <v>227</v>
      </c>
      <c r="D299" t="s">
        <v>176</v>
      </c>
      <c r="E299" t="s">
        <v>228</v>
      </c>
      <c r="F299">
        <v>14</v>
      </c>
      <c r="G299" t="s">
        <v>68</v>
      </c>
      <c r="H299" t="s">
        <v>68</v>
      </c>
      <c r="I299" t="s">
        <v>24</v>
      </c>
      <c r="J299" t="s">
        <v>25</v>
      </c>
      <c r="K299" t="s">
        <v>20</v>
      </c>
      <c r="L299" t="s">
        <v>26</v>
      </c>
      <c r="M299" t="s">
        <v>229</v>
      </c>
    </row>
    <row r="300" spans="1:13">
      <c r="A300" t="s">
        <v>13</v>
      </c>
      <c r="B300">
        <v>11623441</v>
      </c>
      <c r="C300" t="s">
        <v>227</v>
      </c>
      <c r="D300" t="s">
        <v>176</v>
      </c>
      <c r="E300" t="s">
        <v>228</v>
      </c>
      <c r="F300">
        <v>15</v>
      </c>
      <c r="G300" t="s">
        <v>71</v>
      </c>
      <c r="H300" t="s">
        <v>71</v>
      </c>
      <c r="I300" t="s">
        <v>24</v>
      </c>
      <c r="J300" t="s">
        <v>25</v>
      </c>
      <c r="K300" t="s">
        <v>20</v>
      </c>
      <c r="L300" t="s">
        <v>26</v>
      </c>
      <c r="M300" t="s">
        <v>229</v>
      </c>
    </row>
    <row r="301" spans="1:13">
      <c r="A301" t="s">
        <v>13</v>
      </c>
      <c r="B301">
        <v>11623441</v>
      </c>
      <c r="C301" t="s">
        <v>227</v>
      </c>
      <c r="D301" t="s">
        <v>176</v>
      </c>
      <c r="E301" t="s">
        <v>228</v>
      </c>
      <c r="F301">
        <v>16</v>
      </c>
      <c r="G301" t="s">
        <v>77</v>
      </c>
      <c r="H301" t="s">
        <v>77</v>
      </c>
      <c r="I301" t="s">
        <v>24</v>
      </c>
      <c r="J301" t="s">
        <v>25</v>
      </c>
      <c r="K301" t="s">
        <v>20</v>
      </c>
      <c r="L301" t="s">
        <v>32</v>
      </c>
      <c r="M301" t="s">
        <v>229</v>
      </c>
    </row>
    <row r="302" spans="1:13">
      <c r="A302" t="s">
        <v>13</v>
      </c>
      <c r="B302">
        <v>11623441</v>
      </c>
      <c r="C302" t="s">
        <v>227</v>
      </c>
      <c r="D302" t="s">
        <v>176</v>
      </c>
      <c r="E302" t="s">
        <v>228</v>
      </c>
      <c r="F302">
        <v>17</v>
      </c>
      <c r="G302" t="s">
        <v>80</v>
      </c>
      <c r="H302" t="s">
        <v>80</v>
      </c>
      <c r="I302" t="s">
        <v>24</v>
      </c>
      <c r="J302" t="s">
        <v>25</v>
      </c>
      <c r="K302" t="s">
        <v>20</v>
      </c>
      <c r="L302" t="s">
        <v>32</v>
      </c>
      <c r="M302" t="s">
        <v>229</v>
      </c>
    </row>
    <row r="303" spans="1:13">
      <c r="A303" t="s">
        <v>13</v>
      </c>
      <c r="B303">
        <v>11623441</v>
      </c>
      <c r="C303" t="s">
        <v>227</v>
      </c>
      <c r="D303" t="s">
        <v>176</v>
      </c>
      <c r="E303" t="s">
        <v>228</v>
      </c>
      <c r="F303">
        <v>18</v>
      </c>
      <c r="G303" t="s">
        <v>83</v>
      </c>
      <c r="H303" t="s">
        <v>83</v>
      </c>
      <c r="I303" t="s">
        <v>24</v>
      </c>
      <c r="J303" t="s">
        <v>25</v>
      </c>
      <c r="K303" t="s">
        <v>20</v>
      </c>
      <c r="L303" t="s">
        <v>32</v>
      </c>
      <c r="M303" t="s">
        <v>229</v>
      </c>
    </row>
    <row r="304" spans="1:13">
      <c r="A304" t="s">
        <v>13</v>
      </c>
      <c r="B304">
        <v>11623441</v>
      </c>
      <c r="C304" t="s">
        <v>227</v>
      </c>
      <c r="D304" t="s">
        <v>176</v>
      </c>
      <c r="E304" t="s">
        <v>228</v>
      </c>
      <c r="F304">
        <v>19</v>
      </c>
      <c r="G304" t="s">
        <v>59</v>
      </c>
      <c r="H304" t="s">
        <v>59</v>
      </c>
      <c r="I304" t="s">
        <v>24</v>
      </c>
      <c r="J304" t="s">
        <v>25</v>
      </c>
      <c r="K304" t="s">
        <v>20</v>
      </c>
      <c r="L304" t="s">
        <v>32</v>
      </c>
      <c r="M304" t="s">
        <v>229</v>
      </c>
    </row>
    <row r="305" spans="1:13">
      <c r="A305" t="s">
        <v>13</v>
      </c>
      <c r="B305">
        <v>11623441</v>
      </c>
      <c r="C305" t="s">
        <v>227</v>
      </c>
      <c r="D305" t="s">
        <v>176</v>
      </c>
      <c r="E305" t="s">
        <v>228</v>
      </c>
      <c r="F305">
        <v>20</v>
      </c>
      <c r="G305" t="s">
        <v>56</v>
      </c>
      <c r="H305" t="s">
        <v>56</v>
      </c>
      <c r="I305" t="s">
        <v>24</v>
      </c>
      <c r="J305" t="s">
        <v>25</v>
      </c>
      <c r="K305" t="s">
        <v>20</v>
      </c>
      <c r="L305" t="s">
        <v>32</v>
      </c>
      <c r="M305" t="s">
        <v>229</v>
      </c>
    </row>
    <row r="306" spans="1:13">
      <c r="A306" t="s">
        <v>13</v>
      </c>
      <c r="B306">
        <v>11623441</v>
      </c>
      <c r="C306" t="s">
        <v>227</v>
      </c>
      <c r="D306" t="s">
        <v>176</v>
      </c>
      <c r="E306" t="s">
        <v>228</v>
      </c>
      <c r="F306">
        <v>21</v>
      </c>
      <c r="G306" t="s">
        <v>89</v>
      </c>
      <c r="H306" t="s">
        <v>89</v>
      </c>
      <c r="I306" t="s">
        <v>24</v>
      </c>
      <c r="J306" t="s">
        <v>25</v>
      </c>
      <c r="K306" t="s">
        <v>20</v>
      </c>
      <c r="L306" t="s">
        <v>21</v>
      </c>
      <c r="M306" t="s">
        <v>229</v>
      </c>
    </row>
    <row r="307" spans="1:13">
      <c r="A307" t="s">
        <v>13</v>
      </c>
      <c r="B307">
        <v>11623441</v>
      </c>
      <c r="C307" t="s">
        <v>227</v>
      </c>
      <c r="D307" t="s">
        <v>176</v>
      </c>
      <c r="E307" t="s">
        <v>228</v>
      </c>
      <c r="F307">
        <v>22</v>
      </c>
      <c r="G307" t="s">
        <v>92</v>
      </c>
      <c r="H307" t="s">
        <v>92</v>
      </c>
      <c r="I307" t="s">
        <v>24</v>
      </c>
      <c r="J307" t="s">
        <v>25</v>
      </c>
      <c r="K307" t="s">
        <v>20</v>
      </c>
      <c r="L307" t="s">
        <v>21</v>
      </c>
      <c r="M307" t="s">
        <v>229</v>
      </c>
    </row>
    <row r="308" spans="1:13">
      <c r="A308" t="s">
        <v>13</v>
      </c>
      <c r="B308">
        <v>11623441</v>
      </c>
      <c r="C308" t="s">
        <v>227</v>
      </c>
      <c r="D308" t="s">
        <v>176</v>
      </c>
      <c r="E308" t="s">
        <v>228</v>
      </c>
      <c r="F308">
        <v>23</v>
      </c>
      <c r="G308" t="s">
        <v>62</v>
      </c>
      <c r="H308" t="s">
        <v>62</v>
      </c>
      <c r="I308" t="s">
        <v>24</v>
      </c>
      <c r="J308" t="s">
        <v>25</v>
      </c>
      <c r="K308" t="s">
        <v>20</v>
      </c>
      <c r="L308" t="s">
        <v>26</v>
      </c>
      <c r="M308" t="s">
        <v>229</v>
      </c>
    </row>
    <row r="309" spans="1:13">
      <c r="A309" t="s">
        <v>13</v>
      </c>
      <c r="B309">
        <v>11623441</v>
      </c>
      <c r="C309" t="s">
        <v>227</v>
      </c>
      <c r="D309" t="s">
        <v>176</v>
      </c>
      <c r="E309" t="s">
        <v>228</v>
      </c>
      <c r="F309">
        <v>24</v>
      </c>
      <c r="G309" t="s">
        <v>169</v>
      </c>
      <c r="H309" t="s">
        <v>169</v>
      </c>
      <c r="I309" t="s">
        <v>24</v>
      </c>
      <c r="J309" t="s">
        <v>25</v>
      </c>
      <c r="K309" t="s">
        <v>20</v>
      </c>
      <c r="L309" t="s">
        <v>26</v>
      </c>
      <c r="M309" t="s">
        <v>229</v>
      </c>
    </row>
    <row r="310" spans="1:13">
      <c r="A310" t="s">
        <v>13</v>
      </c>
      <c r="B310">
        <v>11623441</v>
      </c>
      <c r="C310" t="s">
        <v>227</v>
      </c>
      <c r="D310" t="s">
        <v>176</v>
      </c>
      <c r="E310" t="s">
        <v>228</v>
      </c>
      <c r="F310">
        <v>25</v>
      </c>
      <c r="G310" t="s">
        <v>236</v>
      </c>
      <c r="H310" t="s">
        <v>236</v>
      </c>
      <c r="I310" t="s">
        <v>24</v>
      </c>
      <c r="J310" t="s">
        <v>25</v>
      </c>
      <c r="K310" t="s">
        <v>20</v>
      </c>
      <c r="L310" t="s">
        <v>26</v>
      </c>
      <c r="M310" t="s">
        <v>229</v>
      </c>
    </row>
    <row r="311" spans="1:13">
      <c r="A311" t="s">
        <v>13</v>
      </c>
      <c r="B311">
        <v>11623441</v>
      </c>
      <c r="C311" t="s">
        <v>227</v>
      </c>
      <c r="D311" t="s">
        <v>176</v>
      </c>
      <c r="E311" t="s">
        <v>228</v>
      </c>
      <c r="F311">
        <v>26</v>
      </c>
      <c r="G311" t="s">
        <v>237</v>
      </c>
      <c r="H311" t="s">
        <v>237</v>
      </c>
      <c r="I311" t="s">
        <v>24</v>
      </c>
      <c r="J311" t="s">
        <v>25</v>
      </c>
      <c r="K311" t="s">
        <v>20</v>
      </c>
      <c r="L311" t="s">
        <v>32</v>
      </c>
      <c r="M311" t="s">
        <v>229</v>
      </c>
    </row>
    <row r="312" spans="1:13">
      <c r="A312" t="s">
        <v>13</v>
      </c>
      <c r="B312">
        <v>11623441</v>
      </c>
      <c r="C312" t="s">
        <v>227</v>
      </c>
      <c r="D312" t="s">
        <v>176</v>
      </c>
      <c r="E312" t="s">
        <v>228</v>
      </c>
      <c r="F312">
        <v>27</v>
      </c>
      <c r="G312" t="s">
        <v>238</v>
      </c>
      <c r="H312" t="s">
        <v>238</v>
      </c>
      <c r="I312" t="s">
        <v>24</v>
      </c>
      <c r="J312" t="s">
        <v>25</v>
      </c>
      <c r="K312" t="s">
        <v>20</v>
      </c>
      <c r="L312" t="s">
        <v>32</v>
      </c>
      <c r="M312" t="s">
        <v>229</v>
      </c>
    </row>
    <row r="313" spans="1:13">
      <c r="A313" t="s">
        <v>13</v>
      </c>
      <c r="B313" t="s">
        <v>239</v>
      </c>
      <c r="C313" t="s">
        <v>240</v>
      </c>
      <c r="D313" t="s">
        <v>241</v>
      </c>
      <c r="E313" t="s">
        <v>242</v>
      </c>
      <c r="F313">
        <v>1</v>
      </c>
      <c r="G313" t="s">
        <v>243</v>
      </c>
      <c r="H313" t="s">
        <v>243</v>
      </c>
      <c r="I313" t="s">
        <v>24</v>
      </c>
      <c r="J313" t="s">
        <v>25</v>
      </c>
      <c r="K313" t="s">
        <v>20</v>
      </c>
      <c r="L313" t="s">
        <v>21</v>
      </c>
      <c r="M313" t="s">
        <v>244</v>
      </c>
    </row>
    <row r="314" spans="1:13">
      <c r="A314" t="s">
        <v>13</v>
      </c>
      <c r="B314" t="s">
        <v>239</v>
      </c>
      <c r="C314" t="s">
        <v>240</v>
      </c>
      <c r="D314" t="s">
        <v>241</v>
      </c>
      <c r="E314" t="s">
        <v>242</v>
      </c>
      <c r="F314">
        <v>2</v>
      </c>
      <c r="G314" t="s">
        <v>245</v>
      </c>
      <c r="H314" t="s">
        <v>245</v>
      </c>
      <c r="I314" t="s">
        <v>24</v>
      </c>
      <c r="J314" t="s">
        <v>25</v>
      </c>
      <c r="K314" t="s">
        <v>20</v>
      </c>
      <c r="L314" t="s">
        <v>21</v>
      </c>
      <c r="M314" t="s">
        <v>244</v>
      </c>
    </row>
    <row r="315" spans="1:13">
      <c r="A315" t="s">
        <v>13</v>
      </c>
      <c r="B315" t="s">
        <v>239</v>
      </c>
      <c r="C315" t="s">
        <v>240</v>
      </c>
      <c r="D315" t="s">
        <v>241</v>
      </c>
      <c r="E315" t="s">
        <v>242</v>
      </c>
      <c r="F315">
        <v>3</v>
      </c>
      <c r="G315" t="s">
        <v>246</v>
      </c>
      <c r="H315" t="s">
        <v>246</v>
      </c>
      <c r="I315" t="s">
        <v>24</v>
      </c>
      <c r="J315" t="s">
        <v>25</v>
      </c>
      <c r="K315" t="s">
        <v>20</v>
      </c>
      <c r="L315" t="s">
        <v>21</v>
      </c>
      <c r="M315" t="s">
        <v>244</v>
      </c>
    </row>
    <row r="316" spans="1:13">
      <c r="A316" t="s">
        <v>13</v>
      </c>
      <c r="B316" t="s">
        <v>239</v>
      </c>
      <c r="C316" t="s">
        <v>240</v>
      </c>
      <c r="D316" t="s">
        <v>241</v>
      </c>
      <c r="E316" t="s">
        <v>242</v>
      </c>
      <c r="F316">
        <v>4</v>
      </c>
      <c r="G316" t="s">
        <v>247</v>
      </c>
      <c r="H316" t="s">
        <v>247</v>
      </c>
      <c r="I316" t="s">
        <v>24</v>
      </c>
      <c r="J316" t="s">
        <v>25</v>
      </c>
      <c r="K316" t="s">
        <v>20</v>
      </c>
      <c r="L316" t="s">
        <v>32</v>
      </c>
      <c r="M316" t="s">
        <v>244</v>
      </c>
    </row>
    <row r="317" spans="1:13">
      <c r="A317" t="s">
        <v>13</v>
      </c>
      <c r="B317" t="s">
        <v>239</v>
      </c>
      <c r="C317" t="s">
        <v>240</v>
      </c>
      <c r="D317" t="s">
        <v>241</v>
      </c>
      <c r="E317" t="s">
        <v>242</v>
      </c>
      <c r="F317">
        <v>5</v>
      </c>
      <c r="G317" t="s">
        <v>248</v>
      </c>
      <c r="H317" t="s">
        <v>248</v>
      </c>
      <c r="I317" t="s">
        <v>24</v>
      </c>
      <c r="J317" t="s">
        <v>25</v>
      </c>
      <c r="K317" t="s">
        <v>20</v>
      </c>
      <c r="L317" t="s">
        <v>32</v>
      </c>
      <c r="M317" t="s">
        <v>244</v>
      </c>
    </row>
    <row r="318" spans="1:13">
      <c r="A318" t="s">
        <v>13</v>
      </c>
      <c r="B318" t="s">
        <v>239</v>
      </c>
      <c r="C318" t="s">
        <v>240</v>
      </c>
      <c r="D318" t="s">
        <v>241</v>
      </c>
      <c r="E318" t="s">
        <v>242</v>
      </c>
      <c r="F318">
        <v>6</v>
      </c>
      <c r="G318" t="s">
        <v>249</v>
      </c>
      <c r="H318" t="s">
        <v>249</v>
      </c>
      <c r="I318" t="s">
        <v>24</v>
      </c>
      <c r="J318" t="s">
        <v>25</v>
      </c>
      <c r="K318" t="s">
        <v>20</v>
      </c>
      <c r="L318" t="s">
        <v>21</v>
      </c>
      <c r="M318" t="s">
        <v>244</v>
      </c>
    </row>
    <row r="319" spans="1:13">
      <c r="A319" t="s">
        <v>13</v>
      </c>
      <c r="B319" t="s">
        <v>239</v>
      </c>
      <c r="C319" t="s">
        <v>240</v>
      </c>
      <c r="D319" t="s">
        <v>241</v>
      </c>
      <c r="E319" t="s">
        <v>242</v>
      </c>
      <c r="F319">
        <v>7</v>
      </c>
      <c r="G319" t="s">
        <v>250</v>
      </c>
      <c r="H319" t="s">
        <v>250</v>
      </c>
      <c r="I319" t="s">
        <v>24</v>
      </c>
      <c r="J319" t="s">
        <v>25</v>
      </c>
      <c r="K319" t="s">
        <v>20</v>
      </c>
      <c r="L319" t="s">
        <v>21</v>
      </c>
      <c r="M319" t="s">
        <v>244</v>
      </c>
    </row>
    <row r="320" spans="1:13">
      <c r="A320" t="s">
        <v>13</v>
      </c>
      <c r="B320" t="s">
        <v>239</v>
      </c>
      <c r="C320" t="s">
        <v>240</v>
      </c>
      <c r="D320" t="s">
        <v>241</v>
      </c>
      <c r="E320" t="s">
        <v>242</v>
      </c>
      <c r="F320">
        <v>8</v>
      </c>
      <c r="G320" t="s">
        <v>251</v>
      </c>
      <c r="H320" t="s">
        <v>251</v>
      </c>
      <c r="I320" t="s">
        <v>24</v>
      </c>
      <c r="J320" t="s">
        <v>25</v>
      </c>
      <c r="K320" t="s">
        <v>20</v>
      </c>
      <c r="L320" t="s">
        <v>26</v>
      </c>
      <c r="M320" t="s">
        <v>244</v>
      </c>
    </row>
    <row r="321" spans="1:13">
      <c r="A321" t="s">
        <v>13</v>
      </c>
      <c r="B321" t="s">
        <v>239</v>
      </c>
      <c r="C321" t="s">
        <v>240</v>
      </c>
      <c r="D321" t="s">
        <v>241</v>
      </c>
      <c r="E321" t="s">
        <v>242</v>
      </c>
      <c r="F321">
        <v>9</v>
      </c>
      <c r="G321" t="s">
        <v>252</v>
      </c>
      <c r="H321" t="s">
        <v>252</v>
      </c>
      <c r="I321" t="s">
        <v>24</v>
      </c>
      <c r="J321" t="s">
        <v>25</v>
      </c>
      <c r="K321" t="s">
        <v>20</v>
      </c>
      <c r="L321" t="s">
        <v>26</v>
      </c>
      <c r="M321" t="s">
        <v>244</v>
      </c>
    </row>
    <row r="322" spans="1:13">
      <c r="A322" t="s">
        <v>13</v>
      </c>
      <c r="B322" t="s">
        <v>239</v>
      </c>
      <c r="C322" t="s">
        <v>240</v>
      </c>
      <c r="D322" t="s">
        <v>241</v>
      </c>
      <c r="E322" t="s">
        <v>242</v>
      </c>
      <c r="F322">
        <v>10</v>
      </c>
      <c r="G322" t="s">
        <v>253</v>
      </c>
      <c r="H322" t="s">
        <v>253</v>
      </c>
      <c r="I322" t="s">
        <v>24</v>
      </c>
      <c r="J322" t="s">
        <v>25</v>
      </c>
      <c r="K322" t="s">
        <v>20</v>
      </c>
      <c r="L322" t="s">
        <v>21</v>
      </c>
      <c r="M322" t="s">
        <v>244</v>
      </c>
    </row>
    <row r="323" spans="1:13">
      <c r="A323" t="s">
        <v>13</v>
      </c>
      <c r="B323" t="s">
        <v>239</v>
      </c>
      <c r="C323" t="s">
        <v>240</v>
      </c>
      <c r="D323" t="s">
        <v>241</v>
      </c>
      <c r="E323" t="s">
        <v>242</v>
      </c>
      <c r="F323">
        <v>11</v>
      </c>
      <c r="G323" t="s">
        <v>254</v>
      </c>
      <c r="H323" t="s">
        <v>254</v>
      </c>
      <c r="I323" t="s">
        <v>24</v>
      </c>
      <c r="J323" t="s">
        <v>25</v>
      </c>
      <c r="K323" t="s">
        <v>20</v>
      </c>
      <c r="L323" t="s">
        <v>21</v>
      </c>
      <c r="M323" t="s">
        <v>244</v>
      </c>
    </row>
    <row r="324" spans="1:13">
      <c r="A324" t="s">
        <v>13</v>
      </c>
      <c r="B324" t="s">
        <v>239</v>
      </c>
      <c r="C324" t="s">
        <v>240</v>
      </c>
      <c r="D324" t="s">
        <v>241</v>
      </c>
      <c r="E324" t="s">
        <v>242</v>
      </c>
      <c r="F324">
        <v>12</v>
      </c>
      <c r="G324" t="s">
        <v>255</v>
      </c>
      <c r="H324" t="s">
        <v>255</v>
      </c>
      <c r="I324" t="s">
        <v>24</v>
      </c>
      <c r="J324" t="s">
        <v>25</v>
      </c>
      <c r="K324" t="s">
        <v>20</v>
      </c>
      <c r="L324" t="s">
        <v>32</v>
      </c>
      <c r="M324" t="s">
        <v>244</v>
      </c>
    </row>
    <row r="325" spans="1:13">
      <c r="A325" t="s">
        <v>13</v>
      </c>
      <c r="B325" t="s">
        <v>239</v>
      </c>
      <c r="C325" t="s">
        <v>240</v>
      </c>
      <c r="D325" t="s">
        <v>241</v>
      </c>
      <c r="E325" t="s">
        <v>242</v>
      </c>
      <c r="F325">
        <v>13</v>
      </c>
      <c r="G325" t="s">
        <v>256</v>
      </c>
      <c r="H325" t="s">
        <v>256</v>
      </c>
      <c r="I325" t="s">
        <v>24</v>
      </c>
      <c r="J325" t="s">
        <v>25</v>
      </c>
      <c r="K325" t="s">
        <v>20</v>
      </c>
      <c r="L325" t="s">
        <v>26</v>
      </c>
      <c r="M325" t="s">
        <v>244</v>
      </c>
    </row>
    <row r="326" spans="1:13">
      <c r="A326" t="s">
        <v>13</v>
      </c>
      <c r="B326" t="s">
        <v>239</v>
      </c>
      <c r="C326" t="s">
        <v>240</v>
      </c>
      <c r="D326" t="s">
        <v>241</v>
      </c>
      <c r="E326" t="s">
        <v>242</v>
      </c>
      <c r="F326">
        <v>14</v>
      </c>
      <c r="G326" t="s">
        <v>257</v>
      </c>
      <c r="H326" t="s">
        <v>257</v>
      </c>
      <c r="I326" t="s">
        <v>24</v>
      </c>
      <c r="J326" t="s">
        <v>25</v>
      </c>
      <c r="K326" t="s">
        <v>20</v>
      </c>
      <c r="L326" t="s">
        <v>32</v>
      </c>
      <c r="M326" t="s">
        <v>244</v>
      </c>
    </row>
    <row r="327" spans="1:13">
      <c r="A327" t="s">
        <v>13</v>
      </c>
      <c r="B327" t="s">
        <v>239</v>
      </c>
      <c r="C327" t="s">
        <v>240</v>
      </c>
      <c r="D327" t="s">
        <v>241</v>
      </c>
      <c r="E327" t="s">
        <v>242</v>
      </c>
      <c r="F327">
        <v>15</v>
      </c>
      <c r="G327" t="s">
        <v>258</v>
      </c>
      <c r="H327" t="s">
        <v>258</v>
      </c>
      <c r="I327" t="s">
        <v>24</v>
      </c>
      <c r="J327" t="s">
        <v>25</v>
      </c>
      <c r="K327" t="s">
        <v>20</v>
      </c>
      <c r="L327" t="s">
        <v>26</v>
      </c>
      <c r="M327" t="s">
        <v>244</v>
      </c>
    </row>
    <row r="328" spans="1:13">
      <c r="A328" t="s">
        <v>13</v>
      </c>
      <c r="B328" t="s">
        <v>239</v>
      </c>
      <c r="C328" t="s">
        <v>240</v>
      </c>
      <c r="D328" t="s">
        <v>241</v>
      </c>
      <c r="E328" t="s">
        <v>242</v>
      </c>
      <c r="F328">
        <v>16</v>
      </c>
      <c r="G328" t="s">
        <v>259</v>
      </c>
      <c r="H328" t="s">
        <v>259</v>
      </c>
      <c r="I328" t="s">
        <v>24</v>
      </c>
      <c r="J328" t="s">
        <v>25</v>
      </c>
      <c r="K328" t="s">
        <v>20</v>
      </c>
      <c r="L328" t="s">
        <v>32</v>
      </c>
      <c r="M328" t="s">
        <v>244</v>
      </c>
    </row>
    <row r="329" spans="1:13">
      <c r="A329" t="s">
        <v>13</v>
      </c>
      <c r="B329" t="s">
        <v>239</v>
      </c>
      <c r="C329" t="s">
        <v>240</v>
      </c>
      <c r="D329" t="s">
        <v>241</v>
      </c>
      <c r="E329" t="s">
        <v>242</v>
      </c>
      <c r="F329">
        <v>17</v>
      </c>
      <c r="G329" t="s">
        <v>260</v>
      </c>
      <c r="H329" t="s">
        <v>260</v>
      </c>
      <c r="I329" t="s">
        <v>24</v>
      </c>
      <c r="J329" t="s">
        <v>25</v>
      </c>
      <c r="K329" t="s">
        <v>20</v>
      </c>
      <c r="L329" t="s">
        <v>26</v>
      </c>
      <c r="M329" t="s">
        <v>244</v>
      </c>
    </row>
    <row r="330" spans="1:13">
      <c r="A330" t="s">
        <v>13</v>
      </c>
      <c r="B330" t="s">
        <v>239</v>
      </c>
      <c r="C330" t="s">
        <v>240</v>
      </c>
      <c r="D330" t="s">
        <v>241</v>
      </c>
      <c r="E330" t="s">
        <v>242</v>
      </c>
      <c r="F330">
        <v>18</v>
      </c>
      <c r="G330" t="s">
        <v>261</v>
      </c>
      <c r="H330" t="s">
        <v>261</v>
      </c>
      <c r="I330" t="s">
        <v>24</v>
      </c>
      <c r="J330" t="s">
        <v>25</v>
      </c>
      <c r="K330" t="s">
        <v>20</v>
      </c>
      <c r="L330" t="s">
        <v>32</v>
      </c>
      <c r="M330" t="s">
        <v>244</v>
      </c>
    </row>
    <row r="331" spans="1:13">
      <c r="A331" t="s">
        <v>13</v>
      </c>
      <c r="B331" t="s">
        <v>239</v>
      </c>
      <c r="C331" t="s">
        <v>240</v>
      </c>
      <c r="D331" t="s">
        <v>241</v>
      </c>
      <c r="E331" t="s">
        <v>242</v>
      </c>
      <c r="F331">
        <v>19</v>
      </c>
      <c r="G331" t="s">
        <v>262</v>
      </c>
      <c r="H331" t="s">
        <v>262</v>
      </c>
      <c r="I331" t="s">
        <v>24</v>
      </c>
      <c r="J331" t="s">
        <v>25</v>
      </c>
      <c r="K331" t="s">
        <v>20</v>
      </c>
      <c r="L331" t="s">
        <v>26</v>
      </c>
      <c r="M331" t="s">
        <v>244</v>
      </c>
    </row>
    <row r="332" spans="1:13">
      <c r="A332" t="s">
        <v>13</v>
      </c>
      <c r="B332" t="s">
        <v>239</v>
      </c>
      <c r="C332" t="s">
        <v>240</v>
      </c>
      <c r="D332" t="s">
        <v>241</v>
      </c>
      <c r="E332" t="s">
        <v>242</v>
      </c>
      <c r="F332">
        <v>20</v>
      </c>
      <c r="G332" t="s">
        <v>263</v>
      </c>
      <c r="H332" t="s">
        <v>263</v>
      </c>
      <c r="I332" t="s">
        <v>24</v>
      </c>
      <c r="J332" t="s">
        <v>25</v>
      </c>
      <c r="K332" t="s">
        <v>20</v>
      </c>
      <c r="L332" t="s">
        <v>32</v>
      </c>
      <c r="M332" t="s">
        <v>244</v>
      </c>
    </row>
    <row r="333" spans="1:13">
      <c r="A333" t="s">
        <v>13</v>
      </c>
      <c r="B333" t="s">
        <v>239</v>
      </c>
      <c r="C333" t="s">
        <v>240</v>
      </c>
      <c r="D333" t="s">
        <v>241</v>
      </c>
      <c r="E333" t="s">
        <v>242</v>
      </c>
      <c r="F333">
        <v>21</v>
      </c>
      <c r="G333" t="s">
        <v>264</v>
      </c>
      <c r="H333" t="s">
        <v>264</v>
      </c>
      <c r="I333" t="s">
        <v>24</v>
      </c>
      <c r="J333" t="s">
        <v>25</v>
      </c>
      <c r="K333" t="s">
        <v>20</v>
      </c>
      <c r="L333" t="s">
        <v>32</v>
      </c>
      <c r="M333" t="s">
        <v>244</v>
      </c>
    </row>
    <row r="334" spans="1:13">
      <c r="A334" t="s">
        <v>13</v>
      </c>
      <c r="B334" t="s">
        <v>239</v>
      </c>
      <c r="C334" t="s">
        <v>240</v>
      </c>
      <c r="D334" t="s">
        <v>241</v>
      </c>
      <c r="E334" t="s">
        <v>242</v>
      </c>
      <c r="F334">
        <v>22</v>
      </c>
      <c r="G334" t="s">
        <v>265</v>
      </c>
      <c r="H334" t="s">
        <v>265</v>
      </c>
      <c r="I334" t="s">
        <v>24</v>
      </c>
      <c r="J334" t="s">
        <v>25</v>
      </c>
      <c r="K334" t="s">
        <v>20</v>
      </c>
      <c r="L334" t="s">
        <v>32</v>
      </c>
      <c r="M334" t="s">
        <v>244</v>
      </c>
    </row>
    <row r="335" spans="1:13">
      <c r="A335" t="s">
        <v>13</v>
      </c>
      <c r="B335" t="s">
        <v>239</v>
      </c>
      <c r="C335" t="s">
        <v>240</v>
      </c>
      <c r="D335" t="s">
        <v>241</v>
      </c>
      <c r="E335" t="s">
        <v>242</v>
      </c>
      <c r="F335">
        <v>23</v>
      </c>
      <c r="G335" t="s">
        <v>266</v>
      </c>
      <c r="H335" t="s">
        <v>266</v>
      </c>
      <c r="I335" t="s">
        <v>24</v>
      </c>
      <c r="J335" t="s">
        <v>25</v>
      </c>
      <c r="K335" t="s">
        <v>20</v>
      </c>
      <c r="L335" t="s">
        <v>21</v>
      </c>
      <c r="M335" t="s">
        <v>244</v>
      </c>
    </row>
    <row r="336" spans="1:13">
      <c r="A336" t="s">
        <v>13</v>
      </c>
      <c r="B336" t="s">
        <v>239</v>
      </c>
      <c r="C336" t="s">
        <v>240</v>
      </c>
      <c r="D336" t="s">
        <v>241</v>
      </c>
      <c r="E336" t="s">
        <v>242</v>
      </c>
      <c r="F336">
        <v>24</v>
      </c>
      <c r="G336" t="s">
        <v>267</v>
      </c>
      <c r="H336" t="s">
        <v>267</v>
      </c>
      <c r="I336" t="s">
        <v>24</v>
      </c>
      <c r="J336" t="s">
        <v>25</v>
      </c>
      <c r="K336" t="s">
        <v>20</v>
      </c>
      <c r="L336" t="s">
        <v>26</v>
      </c>
      <c r="M336" t="s">
        <v>244</v>
      </c>
    </row>
    <row r="337" spans="1:13">
      <c r="A337" t="s">
        <v>13</v>
      </c>
      <c r="B337" t="s">
        <v>239</v>
      </c>
      <c r="C337" t="s">
        <v>240</v>
      </c>
      <c r="D337" t="s">
        <v>241</v>
      </c>
      <c r="E337" t="s">
        <v>242</v>
      </c>
      <c r="F337">
        <v>25</v>
      </c>
      <c r="G337" t="s">
        <v>268</v>
      </c>
      <c r="H337" t="s">
        <v>268</v>
      </c>
      <c r="I337" t="s">
        <v>24</v>
      </c>
      <c r="J337" t="s">
        <v>25</v>
      </c>
      <c r="K337" t="s">
        <v>20</v>
      </c>
      <c r="L337" t="s">
        <v>21</v>
      </c>
      <c r="M337" t="s">
        <v>244</v>
      </c>
    </row>
    <row r="338" spans="1:13">
      <c r="A338" t="s">
        <v>13</v>
      </c>
      <c r="B338" t="s">
        <v>239</v>
      </c>
      <c r="C338" t="s">
        <v>240</v>
      </c>
      <c r="D338" t="s">
        <v>241</v>
      </c>
      <c r="E338" t="s">
        <v>242</v>
      </c>
      <c r="F338">
        <v>26</v>
      </c>
      <c r="G338" t="s">
        <v>269</v>
      </c>
      <c r="H338" t="s">
        <v>269</v>
      </c>
      <c r="I338" t="s">
        <v>24</v>
      </c>
      <c r="J338" t="s">
        <v>25</v>
      </c>
      <c r="K338" t="s">
        <v>20</v>
      </c>
      <c r="L338" t="s">
        <v>26</v>
      </c>
      <c r="M338" t="s">
        <v>244</v>
      </c>
    </row>
    <row r="339" spans="1:13">
      <c r="A339" t="s">
        <v>13</v>
      </c>
      <c r="B339" t="s">
        <v>239</v>
      </c>
      <c r="C339" t="s">
        <v>240</v>
      </c>
      <c r="D339" t="s">
        <v>241</v>
      </c>
      <c r="E339" t="s">
        <v>242</v>
      </c>
      <c r="F339">
        <v>27</v>
      </c>
      <c r="G339" t="s">
        <v>270</v>
      </c>
      <c r="H339" t="s">
        <v>270</v>
      </c>
      <c r="I339" t="s">
        <v>24</v>
      </c>
      <c r="J339" t="s">
        <v>25</v>
      </c>
      <c r="K339" t="s">
        <v>20</v>
      </c>
      <c r="L339" t="s">
        <v>26</v>
      </c>
      <c r="M339" t="s">
        <v>244</v>
      </c>
    </row>
    <row r="340" spans="1:13">
      <c r="A340" t="s">
        <v>13</v>
      </c>
      <c r="B340" t="s">
        <v>239</v>
      </c>
      <c r="C340" t="s">
        <v>240</v>
      </c>
      <c r="D340" t="s">
        <v>241</v>
      </c>
      <c r="E340" t="s">
        <v>242</v>
      </c>
      <c r="F340">
        <v>28</v>
      </c>
      <c r="G340" t="s">
        <v>271</v>
      </c>
      <c r="H340" t="s">
        <v>271</v>
      </c>
      <c r="I340" t="s">
        <v>24</v>
      </c>
      <c r="J340" t="s">
        <v>25</v>
      </c>
      <c r="K340" t="s">
        <v>20</v>
      </c>
      <c r="L340" t="s">
        <v>26</v>
      </c>
      <c r="M340" t="s">
        <v>244</v>
      </c>
    </row>
    <row r="341" spans="1:13">
      <c r="A341" t="s">
        <v>13</v>
      </c>
      <c r="B341" t="s">
        <v>239</v>
      </c>
      <c r="C341" t="s">
        <v>240</v>
      </c>
      <c r="D341" t="s">
        <v>241</v>
      </c>
      <c r="E341" t="s">
        <v>242</v>
      </c>
      <c r="F341">
        <v>29</v>
      </c>
      <c r="G341" t="s">
        <v>272</v>
      </c>
      <c r="H341" t="s">
        <v>272</v>
      </c>
      <c r="I341" t="s">
        <v>24</v>
      </c>
      <c r="J341" t="s">
        <v>25</v>
      </c>
      <c r="K341" t="s">
        <v>20</v>
      </c>
      <c r="L341" t="s">
        <v>32</v>
      </c>
      <c r="M341" t="s">
        <v>244</v>
      </c>
    </row>
    <row r="342" spans="1:13">
      <c r="A342" t="s">
        <v>13</v>
      </c>
      <c r="B342" t="s">
        <v>239</v>
      </c>
      <c r="C342" t="s">
        <v>240</v>
      </c>
      <c r="D342" t="s">
        <v>241</v>
      </c>
      <c r="E342" t="s">
        <v>242</v>
      </c>
      <c r="F342">
        <v>30</v>
      </c>
      <c r="G342" t="s">
        <v>273</v>
      </c>
      <c r="H342" t="s">
        <v>273</v>
      </c>
      <c r="I342" t="s">
        <v>24</v>
      </c>
      <c r="J342" t="s">
        <v>25</v>
      </c>
      <c r="K342" t="s">
        <v>20</v>
      </c>
      <c r="L342" t="s">
        <v>32</v>
      </c>
      <c r="M342" t="s">
        <v>244</v>
      </c>
    </row>
    <row r="343" spans="1:13">
      <c r="A343" t="s">
        <v>13</v>
      </c>
      <c r="B343" t="s">
        <v>239</v>
      </c>
      <c r="C343" t="s">
        <v>240</v>
      </c>
      <c r="D343" t="s">
        <v>241</v>
      </c>
      <c r="E343" t="s">
        <v>242</v>
      </c>
      <c r="F343">
        <v>31</v>
      </c>
      <c r="G343" t="s">
        <v>274</v>
      </c>
      <c r="H343" t="s">
        <v>274</v>
      </c>
      <c r="I343" t="s">
        <v>24</v>
      </c>
      <c r="J343" t="s">
        <v>25</v>
      </c>
      <c r="K343" t="s">
        <v>20</v>
      </c>
      <c r="L343" t="s">
        <v>32</v>
      </c>
      <c r="M343" t="s">
        <v>244</v>
      </c>
    </row>
    <row r="344" spans="1:13">
      <c r="A344" t="s">
        <v>13</v>
      </c>
      <c r="B344" t="s">
        <v>239</v>
      </c>
      <c r="C344" t="s">
        <v>240</v>
      </c>
      <c r="D344" t="s">
        <v>241</v>
      </c>
      <c r="E344" t="s">
        <v>242</v>
      </c>
      <c r="F344">
        <v>32</v>
      </c>
      <c r="G344" t="s">
        <v>275</v>
      </c>
      <c r="H344" t="s">
        <v>275</v>
      </c>
      <c r="I344" t="s">
        <v>24</v>
      </c>
      <c r="J344" t="s">
        <v>25</v>
      </c>
      <c r="K344" t="s">
        <v>20</v>
      </c>
      <c r="L344" t="s">
        <v>32</v>
      </c>
      <c r="M344" t="s">
        <v>244</v>
      </c>
    </row>
    <row r="345" spans="1:13">
      <c r="A345" t="s">
        <v>13</v>
      </c>
      <c r="B345" t="s">
        <v>239</v>
      </c>
      <c r="C345" t="s">
        <v>240</v>
      </c>
      <c r="D345" t="s">
        <v>241</v>
      </c>
      <c r="E345" t="s">
        <v>242</v>
      </c>
      <c r="F345">
        <v>33</v>
      </c>
      <c r="G345" t="s">
        <v>276</v>
      </c>
      <c r="H345" t="s">
        <v>276</v>
      </c>
      <c r="I345" t="s">
        <v>24</v>
      </c>
      <c r="J345" t="s">
        <v>25</v>
      </c>
      <c r="K345" t="s">
        <v>20</v>
      </c>
      <c r="L345" t="s">
        <v>26</v>
      </c>
      <c r="M345" t="s">
        <v>244</v>
      </c>
    </row>
    <row r="346" spans="1:13">
      <c r="A346" t="s">
        <v>13</v>
      </c>
      <c r="B346" t="s">
        <v>239</v>
      </c>
      <c r="C346" t="s">
        <v>240</v>
      </c>
      <c r="D346" t="s">
        <v>241</v>
      </c>
      <c r="E346" t="s">
        <v>242</v>
      </c>
      <c r="F346">
        <v>34</v>
      </c>
      <c r="G346" t="s">
        <v>277</v>
      </c>
      <c r="H346" t="s">
        <v>277</v>
      </c>
      <c r="I346" t="s">
        <v>24</v>
      </c>
      <c r="J346" t="s">
        <v>25</v>
      </c>
      <c r="K346" t="s">
        <v>20</v>
      </c>
      <c r="L346" t="s">
        <v>32</v>
      </c>
      <c r="M346" t="s">
        <v>244</v>
      </c>
    </row>
    <row r="347" spans="1:13">
      <c r="A347" t="s">
        <v>13</v>
      </c>
      <c r="B347" t="s">
        <v>239</v>
      </c>
      <c r="C347" t="s">
        <v>240</v>
      </c>
      <c r="D347" t="s">
        <v>241</v>
      </c>
      <c r="E347" t="s">
        <v>242</v>
      </c>
      <c r="F347">
        <v>35</v>
      </c>
      <c r="G347" t="s">
        <v>278</v>
      </c>
      <c r="H347" t="s">
        <v>278</v>
      </c>
      <c r="I347" t="s">
        <v>24</v>
      </c>
      <c r="J347" t="s">
        <v>25</v>
      </c>
      <c r="K347" t="s">
        <v>20</v>
      </c>
      <c r="L347" t="s">
        <v>26</v>
      </c>
      <c r="M347" t="s">
        <v>244</v>
      </c>
    </row>
    <row r="348" spans="1:13">
      <c r="A348" t="s">
        <v>13</v>
      </c>
      <c r="B348" t="s">
        <v>239</v>
      </c>
      <c r="C348" t="s">
        <v>240</v>
      </c>
      <c r="D348" t="s">
        <v>241</v>
      </c>
      <c r="E348" t="s">
        <v>242</v>
      </c>
      <c r="F348">
        <v>36</v>
      </c>
      <c r="G348" t="s">
        <v>279</v>
      </c>
      <c r="H348" t="s">
        <v>279</v>
      </c>
      <c r="I348" t="s">
        <v>24</v>
      </c>
      <c r="J348" t="s">
        <v>25</v>
      </c>
      <c r="K348" t="s">
        <v>20</v>
      </c>
      <c r="L348" t="s">
        <v>32</v>
      </c>
      <c r="M348" t="s">
        <v>244</v>
      </c>
    </row>
    <row r="349" spans="1:13">
      <c r="A349" t="s">
        <v>13</v>
      </c>
      <c r="B349" t="s">
        <v>239</v>
      </c>
      <c r="C349" t="s">
        <v>240</v>
      </c>
      <c r="D349" t="s">
        <v>241</v>
      </c>
      <c r="E349" t="s">
        <v>242</v>
      </c>
      <c r="F349">
        <v>37</v>
      </c>
      <c r="G349" t="s">
        <v>280</v>
      </c>
      <c r="H349" t="s">
        <v>280</v>
      </c>
      <c r="I349" t="s">
        <v>24</v>
      </c>
      <c r="J349" t="s">
        <v>25</v>
      </c>
      <c r="K349" t="s">
        <v>20</v>
      </c>
      <c r="L349" t="s">
        <v>26</v>
      </c>
      <c r="M349" t="s">
        <v>244</v>
      </c>
    </row>
    <row r="350" spans="1:13">
      <c r="A350" t="s">
        <v>13</v>
      </c>
      <c r="B350" t="s">
        <v>239</v>
      </c>
      <c r="C350" t="s">
        <v>281</v>
      </c>
      <c r="D350" t="s">
        <v>241</v>
      </c>
      <c r="E350" t="s">
        <v>242</v>
      </c>
      <c r="F350">
        <v>1</v>
      </c>
      <c r="G350" t="s">
        <v>282</v>
      </c>
      <c r="H350" t="s">
        <v>282</v>
      </c>
      <c r="I350" t="s">
        <v>18</v>
      </c>
      <c r="J350" t="s">
        <v>19</v>
      </c>
      <c r="K350" t="s">
        <v>20</v>
      </c>
      <c r="L350" t="s">
        <v>21</v>
      </c>
      <c r="M350" t="s">
        <v>283</v>
      </c>
    </row>
    <row r="351" spans="1:13">
      <c r="A351" t="s">
        <v>13</v>
      </c>
      <c r="B351" t="s">
        <v>239</v>
      </c>
      <c r="C351" t="s">
        <v>281</v>
      </c>
      <c r="D351" t="s">
        <v>241</v>
      </c>
      <c r="E351" t="s">
        <v>242</v>
      </c>
      <c r="F351">
        <v>2</v>
      </c>
      <c r="G351" t="s">
        <v>284</v>
      </c>
      <c r="H351" t="s">
        <v>284</v>
      </c>
      <c r="I351" t="s">
        <v>18</v>
      </c>
      <c r="J351" t="s">
        <v>19</v>
      </c>
      <c r="K351" t="s">
        <v>20</v>
      </c>
      <c r="L351" t="s">
        <v>21</v>
      </c>
      <c r="M351" t="s">
        <v>283</v>
      </c>
    </row>
    <row r="352" spans="1:13">
      <c r="A352" t="s">
        <v>13</v>
      </c>
      <c r="B352" t="s">
        <v>239</v>
      </c>
      <c r="C352" t="s">
        <v>281</v>
      </c>
      <c r="D352" t="s">
        <v>241</v>
      </c>
      <c r="E352" t="s">
        <v>242</v>
      </c>
      <c r="F352">
        <v>3</v>
      </c>
      <c r="G352" t="s">
        <v>285</v>
      </c>
      <c r="H352" t="s">
        <v>285</v>
      </c>
      <c r="I352" t="s">
        <v>18</v>
      </c>
      <c r="J352" t="s">
        <v>19</v>
      </c>
      <c r="K352" t="s">
        <v>20</v>
      </c>
      <c r="L352" t="s">
        <v>21</v>
      </c>
      <c r="M352" t="s">
        <v>283</v>
      </c>
    </row>
    <row r="353" spans="1:13">
      <c r="A353" t="s">
        <v>13</v>
      </c>
      <c r="B353" t="s">
        <v>239</v>
      </c>
      <c r="C353" t="s">
        <v>281</v>
      </c>
      <c r="D353" t="s">
        <v>241</v>
      </c>
      <c r="E353" t="s">
        <v>242</v>
      </c>
      <c r="F353">
        <v>4</v>
      </c>
      <c r="G353" t="s">
        <v>286</v>
      </c>
      <c r="H353" t="s">
        <v>286</v>
      </c>
      <c r="I353" t="s">
        <v>18</v>
      </c>
      <c r="J353" t="s">
        <v>19</v>
      </c>
      <c r="K353" t="s">
        <v>20</v>
      </c>
      <c r="L353" t="s">
        <v>21</v>
      </c>
      <c r="M353" t="s">
        <v>283</v>
      </c>
    </row>
    <row r="354" spans="1:13">
      <c r="A354" t="s">
        <v>13</v>
      </c>
      <c r="B354" t="s">
        <v>239</v>
      </c>
      <c r="C354" t="s">
        <v>281</v>
      </c>
      <c r="D354" t="s">
        <v>241</v>
      </c>
      <c r="E354" t="s">
        <v>242</v>
      </c>
      <c r="F354">
        <v>5</v>
      </c>
      <c r="G354" t="s">
        <v>287</v>
      </c>
      <c r="H354" t="s">
        <v>287</v>
      </c>
      <c r="I354" t="s">
        <v>18</v>
      </c>
      <c r="J354" t="s">
        <v>19</v>
      </c>
      <c r="K354" t="s">
        <v>20</v>
      </c>
      <c r="L354" t="s">
        <v>21</v>
      </c>
      <c r="M354" t="s">
        <v>283</v>
      </c>
    </row>
    <row r="355" spans="1:13">
      <c r="A355" t="s">
        <v>13</v>
      </c>
      <c r="B355" t="s">
        <v>239</v>
      </c>
      <c r="C355" t="s">
        <v>281</v>
      </c>
      <c r="D355" t="s">
        <v>241</v>
      </c>
      <c r="E355" t="s">
        <v>242</v>
      </c>
      <c r="F355">
        <v>6</v>
      </c>
      <c r="G355" t="s">
        <v>288</v>
      </c>
      <c r="H355" t="s">
        <v>288</v>
      </c>
      <c r="I355" t="s">
        <v>18</v>
      </c>
      <c r="J355" t="s">
        <v>19</v>
      </c>
      <c r="K355" t="s">
        <v>20</v>
      </c>
      <c r="L355" t="s">
        <v>21</v>
      </c>
      <c r="M355" t="s">
        <v>283</v>
      </c>
    </row>
    <row r="356" spans="1:13">
      <c r="A356" t="s">
        <v>13</v>
      </c>
      <c r="B356" t="s">
        <v>239</v>
      </c>
      <c r="C356" t="s">
        <v>281</v>
      </c>
      <c r="D356" t="s">
        <v>241</v>
      </c>
      <c r="E356" t="s">
        <v>242</v>
      </c>
      <c r="F356">
        <v>7</v>
      </c>
      <c r="G356" t="s">
        <v>289</v>
      </c>
      <c r="H356" t="s">
        <v>289</v>
      </c>
      <c r="I356" t="s">
        <v>24</v>
      </c>
      <c r="J356" t="s">
        <v>25</v>
      </c>
      <c r="K356" t="s">
        <v>20</v>
      </c>
      <c r="L356" t="s">
        <v>21</v>
      </c>
      <c r="M356" t="s">
        <v>283</v>
      </c>
    </row>
    <row r="357" spans="1:13">
      <c r="A357" t="s">
        <v>13</v>
      </c>
      <c r="B357" t="s">
        <v>239</v>
      </c>
      <c r="C357" t="s">
        <v>281</v>
      </c>
      <c r="D357" t="s">
        <v>241</v>
      </c>
      <c r="E357" t="s">
        <v>242</v>
      </c>
      <c r="F357">
        <v>8</v>
      </c>
      <c r="G357" t="s">
        <v>290</v>
      </c>
      <c r="H357" t="s">
        <v>290</v>
      </c>
      <c r="I357" t="s">
        <v>18</v>
      </c>
      <c r="J357" t="s">
        <v>19</v>
      </c>
      <c r="K357" t="s">
        <v>20</v>
      </c>
      <c r="L357" t="s">
        <v>21</v>
      </c>
      <c r="M357" t="s">
        <v>283</v>
      </c>
    </row>
    <row r="358" spans="1:13">
      <c r="A358" t="s">
        <v>13</v>
      </c>
      <c r="B358" t="s">
        <v>239</v>
      </c>
      <c r="C358" t="s">
        <v>281</v>
      </c>
      <c r="D358" t="s">
        <v>241</v>
      </c>
      <c r="E358" t="s">
        <v>242</v>
      </c>
      <c r="F358">
        <v>9</v>
      </c>
      <c r="G358" t="s">
        <v>250</v>
      </c>
      <c r="H358" t="s">
        <v>250</v>
      </c>
      <c r="I358" t="s">
        <v>24</v>
      </c>
      <c r="J358" t="s">
        <v>25</v>
      </c>
      <c r="K358" t="s">
        <v>20</v>
      </c>
      <c r="L358" t="s">
        <v>21</v>
      </c>
      <c r="M358" t="s">
        <v>283</v>
      </c>
    </row>
    <row r="359" spans="1:13">
      <c r="A359" t="s">
        <v>13</v>
      </c>
      <c r="B359" t="s">
        <v>239</v>
      </c>
      <c r="C359" t="s">
        <v>281</v>
      </c>
      <c r="D359" t="s">
        <v>241</v>
      </c>
      <c r="E359" t="s">
        <v>242</v>
      </c>
      <c r="F359">
        <v>10</v>
      </c>
      <c r="G359" t="s">
        <v>291</v>
      </c>
      <c r="H359" t="s">
        <v>291</v>
      </c>
      <c r="I359" t="s">
        <v>24</v>
      </c>
      <c r="J359" t="s">
        <v>25</v>
      </c>
      <c r="K359" t="s">
        <v>20</v>
      </c>
      <c r="L359" t="s">
        <v>26</v>
      </c>
      <c r="M359" t="s">
        <v>283</v>
      </c>
    </row>
    <row r="360" spans="1:13">
      <c r="A360" t="s">
        <v>13</v>
      </c>
      <c r="B360" t="s">
        <v>239</v>
      </c>
      <c r="C360" t="s">
        <v>281</v>
      </c>
      <c r="D360" t="s">
        <v>241</v>
      </c>
      <c r="E360" t="s">
        <v>242</v>
      </c>
      <c r="F360">
        <v>11</v>
      </c>
      <c r="G360" t="s">
        <v>292</v>
      </c>
      <c r="H360" t="s">
        <v>292</v>
      </c>
      <c r="I360" t="s">
        <v>24</v>
      </c>
      <c r="J360" t="s">
        <v>25</v>
      </c>
      <c r="K360" t="s">
        <v>20</v>
      </c>
      <c r="L360" t="s">
        <v>21</v>
      </c>
      <c r="M360" t="s">
        <v>283</v>
      </c>
    </row>
    <row r="361" spans="1:13">
      <c r="A361" t="s">
        <v>13</v>
      </c>
      <c r="B361" t="s">
        <v>239</v>
      </c>
      <c r="C361" t="s">
        <v>281</v>
      </c>
      <c r="D361" t="s">
        <v>241</v>
      </c>
      <c r="E361" t="s">
        <v>242</v>
      </c>
      <c r="F361">
        <v>12</v>
      </c>
      <c r="G361" t="s">
        <v>293</v>
      </c>
      <c r="H361" t="s">
        <v>293</v>
      </c>
      <c r="I361" t="s">
        <v>24</v>
      </c>
      <c r="J361" t="s">
        <v>25</v>
      </c>
      <c r="K361" t="s">
        <v>20</v>
      </c>
      <c r="L361" t="s">
        <v>32</v>
      </c>
      <c r="M361" t="s">
        <v>283</v>
      </c>
    </row>
    <row r="362" spans="1:13">
      <c r="A362" t="s">
        <v>13</v>
      </c>
      <c r="B362" t="s">
        <v>239</v>
      </c>
      <c r="C362" t="s">
        <v>281</v>
      </c>
      <c r="D362" t="s">
        <v>241</v>
      </c>
      <c r="E362" t="s">
        <v>242</v>
      </c>
      <c r="F362">
        <v>13</v>
      </c>
      <c r="G362" t="s">
        <v>294</v>
      </c>
      <c r="H362" t="s">
        <v>294</v>
      </c>
      <c r="I362" t="s">
        <v>24</v>
      </c>
      <c r="J362" t="s">
        <v>25</v>
      </c>
      <c r="K362" t="s">
        <v>20</v>
      </c>
      <c r="L362" t="s">
        <v>26</v>
      </c>
      <c r="M362" t="s">
        <v>283</v>
      </c>
    </row>
    <row r="363" spans="1:13">
      <c r="A363" t="s">
        <v>13</v>
      </c>
      <c r="B363" t="s">
        <v>239</v>
      </c>
      <c r="C363" t="s">
        <v>281</v>
      </c>
      <c r="D363" t="s">
        <v>241</v>
      </c>
      <c r="E363" t="s">
        <v>242</v>
      </c>
      <c r="F363">
        <v>14</v>
      </c>
      <c r="G363" t="s">
        <v>295</v>
      </c>
      <c r="H363" t="s">
        <v>295</v>
      </c>
      <c r="I363" t="s">
        <v>24</v>
      </c>
      <c r="J363" t="s">
        <v>25</v>
      </c>
      <c r="K363" t="s">
        <v>20</v>
      </c>
      <c r="L363" t="s">
        <v>32</v>
      </c>
      <c r="M363" t="s">
        <v>283</v>
      </c>
    </row>
    <row r="364" spans="1:13">
      <c r="A364" t="s">
        <v>13</v>
      </c>
      <c r="B364" t="s">
        <v>239</v>
      </c>
      <c r="C364" t="s">
        <v>281</v>
      </c>
      <c r="D364" t="s">
        <v>241</v>
      </c>
      <c r="E364" t="s">
        <v>242</v>
      </c>
      <c r="F364">
        <v>15</v>
      </c>
      <c r="G364" t="s">
        <v>296</v>
      </c>
      <c r="H364" t="s">
        <v>296</v>
      </c>
      <c r="I364" t="s">
        <v>24</v>
      </c>
      <c r="J364" t="s">
        <v>25</v>
      </c>
      <c r="K364" t="s">
        <v>20</v>
      </c>
      <c r="L364" t="s">
        <v>32</v>
      </c>
      <c r="M364" t="s">
        <v>283</v>
      </c>
    </row>
    <row r="365" spans="1:13">
      <c r="A365" t="s">
        <v>13</v>
      </c>
      <c r="B365" t="s">
        <v>239</v>
      </c>
      <c r="C365" t="s">
        <v>281</v>
      </c>
      <c r="D365" t="s">
        <v>241</v>
      </c>
      <c r="E365" t="s">
        <v>242</v>
      </c>
      <c r="F365">
        <v>16</v>
      </c>
      <c r="G365" t="s">
        <v>297</v>
      </c>
      <c r="H365" t="s">
        <v>297</v>
      </c>
      <c r="I365" t="s">
        <v>24</v>
      </c>
      <c r="J365" t="s">
        <v>25</v>
      </c>
      <c r="K365" t="s">
        <v>20</v>
      </c>
      <c r="L365" t="s">
        <v>32</v>
      </c>
      <c r="M365" t="s">
        <v>283</v>
      </c>
    </row>
    <row r="366" spans="1:13">
      <c r="A366" t="s">
        <v>13</v>
      </c>
      <c r="B366" t="s">
        <v>241</v>
      </c>
      <c r="C366" t="s">
        <v>298</v>
      </c>
      <c r="D366" t="s">
        <v>241</v>
      </c>
      <c r="E366" t="s">
        <v>16</v>
      </c>
      <c r="F366">
        <v>1</v>
      </c>
      <c r="G366" t="s">
        <v>299</v>
      </c>
      <c r="H366" t="s">
        <v>299</v>
      </c>
      <c r="I366" t="s">
        <v>18</v>
      </c>
      <c r="J366" t="s">
        <v>19</v>
      </c>
      <c r="K366" t="s">
        <v>20</v>
      </c>
      <c r="L366" t="s">
        <v>21</v>
      </c>
      <c r="M366" t="s">
        <v>300</v>
      </c>
    </row>
    <row r="367" spans="1:13">
      <c r="A367" t="s">
        <v>13</v>
      </c>
      <c r="B367" t="s">
        <v>241</v>
      </c>
      <c r="C367" t="s">
        <v>298</v>
      </c>
      <c r="D367" t="s">
        <v>241</v>
      </c>
      <c r="E367" t="s">
        <v>16</v>
      </c>
      <c r="F367">
        <v>2</v>
      </c>
      <c r="G367" t="s">
        <v>301</v>
      </c>
      <c r="H367" t="s">
        <v>301</v>
      </c>
      <c r="I367" t="s">
        <v>24</v>
      </c>
      <c r="J367" t="s">
        <v>25</v>
      </c>
      <c r="K367" t="s">
        <v>20</v>
      </c>
      <c r="L367" t="s">
        <v>32</v>
      </c>
      <c r="M367" t="s">
        <v>300</v>
      </c>
    </row>
    <row r="368" spans="1:13">
      <c r="A368" t="s">
        <v>13</v>
      </c>
      <c r="B368" t="s">
        <v>241</v>
      </c>
      <c r="C368" t="s">
        <v>298</v>
      </c>
      <c r="D368" t="s">
        <v>241</v>
      </c>
      <c r="E368" t="s">
        <v>16</v>
      </c>
      <c r="F368">
        <v>3</v>
      </c>
      <c r="G368" t="s">
        <v>302</v>
      </c>
      <c r="H368" t="s">
        <v>301</v>
      </c>
      <c r="I368" t="s">
        <v>303</v>
      </c>
      <c r="J368" t="s">
        <v>25</v>
      </c>
      <c r="K368" t="s">
        <v>20</v>
      </c>
      <c r="L368" t="s">
        <v>32</v>
      </c>
      <c r="M368" t="s">
        <v>300</v>
      </c>
    </row>
    <row r="369" spans="1:13">
      <c r="A369" t="s">
        <v>13</v>
      </c>
      <c r="B369" t="s">
        <v>241</v>
      </c>
      <c r="C369" t="s">
        <v>298</v>
      </c>
      <c r="D369" t="s">
        <v>241</v>
      </c>
      <c r="E369" t="s">
        <v>16</v>
      </c>
      <c r="F369">
        <v>4</v>
      </c>
      <c r="G369" t="s">
        <v>56</v>
      </c>
      <c r="H369" t="s">
        <v>56</v>
      </c>
      <c r="I369" t="s">
        <v>24</v>
      </c>
      <c r="J369" t="s">
        <v>25</v>
      </c>
      <c r="K369" t="s">
        <v>20</v>
      </c>
      <c r="L369" t="s">
        <v>32</v>
      </c>
      <c r="M369" t="s">
        <v>300</v>
      </c>
    </row>
    <row r="370" spans="1:13">
      <c r="A370" t="s">
        <v>13</v>
      </c>
      <c r="B370" t="s">
        <v>241</v>
      </c>
      <c r="C370" t="s">
        <v>298</v>
      </c>
      <c r="D370" t="s">
        <v>241</v>
      </c>
      <c r="E370" t="s">
        <v>16</v>
      </c>
      <c r="F370">
        <v>5</v>
      </c>
      <c r="G370" t="s">
        <v>304</v>
      </c>
      <c r="H370" t="s">
        <v>56</v>
      </c>
      <c r="I370" t="s">
        <v>303</v>
      </c>
      <c r="J370" t="s">
        <v>25</v>
      </c>
      <c r="K370" t="s">
        <v>20</v>
      </c>
      <c r="L370" t="s">
        <v>32</v>
      </c>
      <c r="M370" t="s">
        <v>300</v>
      </c>
    </row>
    <row r="371" spans="1:13">
      <c r="A371" t="s">
        <v>13</v>
      </c>
      <c r="B371" t="s">
        <v>241</v>
      </c>
      <c r="C371" t="s">
        <v>298</v>
      </c>
      <c r="D371" t="s">
        <v>241</v>
      </c>
      <c r="E371" t="s">
        <v>16</v>
      </c>
      <c r="F371">
        <v>6</v>
      </c>
      <c r="G371" t="s">
        <v>104</v>
      </c>
      <c r="H371" t="s">
        <v>104</v>
      </c>
      <c r="I371" t="s">
        <v>24</v>
      </c>
      <c r="J371" t="s">
        <v>25</v>
      </c>
      <c r="K371" t="s">
        <v>20</v>
      </c>
      <c r="L371" t="s">
        <v>32</v>
      </c>
      <c r="M371" t="s">
        <v>300</v>
      </c>
    </row>
    <row r="372" spans="1:13">
      <c r="A372" t="s">
        <v>13</v>
      </c>
      <c r="B372" t="s">
        <v>241</v>
      </c>
      <c r="C372" t="s">
        <v>298</v>
      </c>
      <c r="D372" t="s">
        <v>241</v>
      </c>
      <c r="E372" t="s">
        <v>16</v>
      </c>
      <c r="F372">
        <v>7</v>
      </c>
      <c r="G372" t="s">
        <v>305</v>
      </c>
      <c r="H372" t="s">
        <v>104</v>
      </c>
      <c r="I372" t="s">
        <v>303</v>
      </c>
      <c r="J372" t="s">
        <v>25</v>
      </c>
      <c r="K372" t="s">
        <v>20</v>
      </c>
      <c r="L372" t="s">
        <v>32</v>
      </c>
      <c r="M372" t="s">
        <v>300</v>
      </c>
    </row>
    <row r="373" spans="1:13">
      <c r="A373" t="s">
        <v>13</v>
      </c>
      <c r="B373" t="s">
        <v>241</v>
      </c>
      <c r="C373" t="s">
        <v>298</v>
      </c>
      <c r="D373" t="s">
        <v>241</v>
      </c>
      <c r="E373" t="s">
        <v>16</v>
      </c>
      <c r="F373">
        <v>8</v>
      </c>
      <c r="G373" t="s">
        <v>35</v>
      </c>
      <c r="H373" t="s">
        <v>35</v>
      </c>
      <c r="I373" t="s">
        <v>24</v>
      </c>
      <c r="J373" t="s">
        <v>25</v>
      </c>
      <c r="K373" t="s">
        <v>20</v>
      </c>
      <c r="L373" t="s">
        <v>32</v>
      </c>
      <c r="M373" t="s">
        <v>300</v>
      </c>
    </row>
    <row r="374" spans="1:13">
      <c r="A374" t="s">
        <v>13</v>
      </c>
      <c r="B374" t="s">
        <v>241</v>
      </c>
      <c r="C374" t="s">
        <v>298</v>
      </c>
      <c r="D374" t="s">
        <v>241</v>
      </c>
      <c r="E374" t="s">
        <v>16</v>
      </c>
      <c r="F374">
        <v>9</v>
      </c>
      <c r="G374" t="s">
        <v>306</v>
      </c>
      <c r="H374" t="s">
        <v>35</v>
      </c>
      <c r="I374" t="s">
        <v>303</v>
      </c>
      <c r="J374" t="s">
        <v>25</v>
      </c>
      <c r="K374" t="s">
        <v>20</v>
      </c>
      <c r="L374" t="s">
        <v>32</v>
      </c>
      <c r="M374" t="s">
        <v>300</v>
      </c>
    </row>
    <row r="375" spans="1:13">
      <c r="A375" t="s">
        <v>13</v>
      </c>
      <c r="B375" t="s">
        <v>241</v>
      </c>
      <c r="C375" t="s">
        <v>298</v>
      </c>
      <c r="D375" t="s">
        <v>241</v>
      </c>
      <c r="E375" t="s">
        <v>16</v>
      </c>
      <c r="F375">
        <v>10</v>
      </c>
      <c r="G375" t="s">
        <v>307</v>
      </c>
      <c r="H375" t="s">
        <v>307</v>
      </c>
      <c r="I375" t="s">
        <v>24</v>
      </c>
      <c r="J375" t="s">
        <v>25</v>
      </c>
      <c r="K375" t="s">
        <v>20</v>
      </c>
      <c r="L375" t="s">
        <v>32</v>
      </c>
      <c r="M375" t="s">
        <v>300</v>
      </c>
    </row>
    <row r="376" spans="1:13">
      <c r="A376" t="s">
        <v>13</v>
      </c>
      <c r="B376" t="s">
        <v>241</v>
      </c>
      <c r="C376" t="s">
        <v>298</v>
      </c>
      <c r="D376" t="s">
        <v>241</v>
      </c>
      <c r="E376" t="s">
        <v>16</v>
      </c>
      <c r="F376">
        <v>11</v>
      </c>
      <c r="G376" t="s">
        <v>308</v>
      </c>
      <c r="H376" t="s">
        <v>307</v>
      </c>
      <c r="I376" t="s">
        <v>303</v>
      </c>
      <c r="J376" t="s">
        <v>25</v>
      </c>
      <c r="K376" t="s">
        <v>20</v>
      </c>
      <c r="L376" t="s">
        <v>32</v>
      </c>
      <c r="M376" t="s">
        <v>300</v>
      </c>
    </row>
    <row r="377" spans="1:13">
      <c r="A377" t="s">
        <v>13</v>
      </c>
      <c r="B377" t="s">
        <v>241</v>
      </c>
      <c r="C377" t="s">
        <v>298</v>
      </c>
      <c r="D377" t="s">
        <v>241</v>
      </c>
      <c r="E377" t="s">
        <v>16</v>
      </c>
      <c r="F377">
        <v>12</v>
      </c>
      <c r="G377" t="s">
        <v>309</v>
      </c>
      <c r="H377" t="s">
        <v>309</v>
      </c>
      <c r="I377" t="s">
        <v>24</v>
      </c>
      <c r="J377" t="s">
        <v>25</v>
      </c>
      <c r="K377" t="s">
        <v>20</v>
      </c>
      <c r="L377" t="s">
        <v>32</v>
      </c>
      <c r="M377" t="s">
        <v>300</v>
      </c>
    </row>
    <row r="378" spans="1:13">
      <c r="A378" t="s">
        <v>13</v>
      </c>
      <c r="B378" t="s">
        <v>241</v>
      </c>
      <c r="C378" t="s">
        <v>298</v>
      </c>
      <c r="D378" t="s">
        <v>241</v>
      </c>
      <c r="E378" t="s">
        <v>16</v>
      </c>
      <c r="F378">
        <v>13</v>
      </c>
      <c r="G378" t="s">
        <v>310</v>
      </c>
      <c r="H378" t="s">
        <v>309</v>
      </c>
      <c r="I378" t="s">
        <v>303</v>
      </c>
      <c r="J378" t="s">
        <v>25</v>
      </c>
      <c r="K378" t="s">
        <v>20</v>
      </c>
      <c r="L378" t="s">
        <v>32</v>
      </c>
      <c r="M378" t="s">
        <v>300</v>
      </c>
    </row>
    <row r="379" spans="1:13">
      <c r="A379" t="s">
        <v>13</v>
      </c>
      <c r="B379" t="s">
        <v>241</v>
      </c>
      <c r="C379" t="s">
        <v>298</v>
      </c>
      <c r="D379" t="s">
        <v>241</v>
      </c>
      <c r="E379" t="s">
        <v>16</v>
      </c>
      <c r="F379">
        <v>14</v>
      </c>
      <c r="G379" t="s">
        <v>311</v>
      </c>
      <c r="H379" t="s">
        <v>311</v>
      </c>
      <c r="I379" t="s">
        <v>24</v>
      </c>
      <c r="J379" t="s">
        <v>25</v>
      </c>
      <c r="K379" t="s">
        <v>20</v>
      </c>
      <c r="L379" t="s">
        <v>26</v>
      </c>
      <c r="M379" t="s">
        <v>300</v>
      </c>
    </row>
    <row r="380" spans="1:13">
      <c r="A380" t="s">
        <v>13</v>
      </c>
      <c r="B380" t="s">
        <v>241</v>
      </c>
      <c r="C380" t="s">
        <v>298</v>
      </c>
      <c r="D380" t="s">
        <v>241</v>
      </c>
      <c r="E380" t="s">
        <v>16</v>
      </c>
      <c r="F380">
        <v>15</v>
      </c>
      <c r="G380" t="s">
        <v>312</v>
      </c>
      <c r="H380" t="s">
        <v>311</v>
      </c>
      <c r="I380" t="s">
        <v>303</v>
      </c>
      <c r="J380" t="s">
        <v>25</v>
      </c>
      <c r="K380" t="s">
        <v>20</v>
      </c>
      <c r="L380" t="s">
        <v>26</v>
      </c>
      <c r="M380" t="s">
        <v>300</v>
      </c>
    </row>
    <row r="381" spans="1:13">
      <c r="A381" t="s">
        <v>13</v>
      </c>
      <c r="B381" t="s">
        <v>241</v>
      </c>
      <c r="C381" t="s">
        <v>298</v>
      </c>
      <c r="D381" t="s">
        <v>241</v>
      </c>
      <c r="E381" t="s">
        <v>16</v>
      </c>
      <c r="F381">
        <v>16</v>
      </c>
      <c r="G381" t="s">
        <v>313</v>
      </c>
      <c r="H381" t="s">
        <v>313</v>
      </c>
      <c r="I381" t="s">
        <v>24</v>
      </c>
      <c r="J381" t="s">
        <v>25</v>
      </c>
      <c r="K381" t="s">
        <v>20</v>
      </c>
      <c r="L381" t="s">
        <v>26</v>
      </c>
      <c r="M381" t="s">
        <v>300</v>
      </c>
    </row>
    <row r="382" spans="1:13">
      <c r="A382" t="s">
        <v>13</v>
      </c>
      <c r="B382" t="s">
        <v>241</v>
      </c>
      <c r="C382" t="s">
        <v>298</v>
      </c>
      <c r="D382" t="s">
        <v>241</v>
      </c>
      <c r="E382" t="s">
        <v>16</v>
      </c>
      <c r="F382">
        <v>17</v>
      </c>
      <c r="G382" t="s">
        <v>314</v>
      </c>
      <c r="H382" t="s">
        <v>313</v>
      </c>
      <c r="I382" t="s">
        <v>303</v>
      </c>
      <c r="J382" t="s">
        <v>25</v>
      </c>
      <c r="K382" t="s">
        <v>20</v>
      </c>
      <c r="L382" t="s">
        <v>26</v>
      </c>
      <c r="M382" t="s">
        <v>300</v>
      </c>
    </row>
    <row r="383" spans="1:13">
      <c r="A383" t="s">
        <v>13</v>
      </c>
      <c r="B383" t="s">
        <v>241</v>
      </c>
      <c r="C383" t="s">
        <v>298</v>
      </c>
      <c r="D383" t="s">
        <v>241</v>
      </c>
      <c r="E383" t="s">
        <v>16</v>
      </c>
      <c r="F383">
        <v>18</v>
      </c>
      <c r="G383" t="s">
        <v>315</v>
      </c>
      <c r="H383" t="s">
        <v>315</v>
      </c>
      <c r="I383" t="s">
        <v>24</v>
      </c>
      <c r="J383" t="s">
        <v>25</v>
      </c>
      <c r="K383" t="s">
        <v>20</v>
      </c>
      <c r="L383" t="s">
        <v>26</v>
      </c>
      <c r="M383" t="s">
        <v>300</v>
      </c>
    </row>
    <row r="384" spans="1:13">
      <c r="A384" t="s">
        <v>13</v>
      </c>
      <c r="B384" t="s">
        <v>241</v>
      </c>
      <c r="C384" t="s">
        <v>298</v>
      </c>
      <c r="D384" t="s">
        <v>241</v>
      </c>
      <c r="E384" t="s">
        <v>16</v>
      </c>
      <c r="F384">
        <v>19</v>
      </c>
      <c r="G384" t="s">
        <v>316</v>
      </c>
      <c r="H384" t="s">
        <v>315</v>
      </c>
      <c r="I384" t="s">
        <v>303</v>
      </c>
      <c r="J384" t="s">
        <v>25</v>
      </c>
      <c r="K384" t="s">
        <v>20</v>
      </c>
      <c r="L384" t="s">
        <v>26</v>
      </c>
      <c r="M384" t="s">
        <v>300</v>
      </c>
    </row>
    <row r="385" spans="1:13">
      <c r="A385" t="s">
        <v>13</v>
      </c>
      <c r="B385" t="s">
        <v>241</v>
      </c>
      <c r="C385" t="s">
        <v>298</v>
      </c>
      <c r="D385" t="s">
        <v>241</v>
      </c>
      <c r="E385" t="s">
        <v>16</v>
      </c>
      <c r="F385">
        <v>20</v>
      </c>
      <c r="G385" t="s">
        <v>317</v>
      </c>
      <c r="H385" t="s">
        <v>317</v>
      </c>
      <c r="I385" t="s">
        <v>24</v>
      </c>
      <c r="J385" t="s">
        <v>25</v>
      </c>
      <c r="K385" t="s">
        <v>20</v>
      </c>
      <c r="L385" t="s">
        <v>26</v>
      </c>
      <c r="M385" t="s">
        <v>300</v>
      </c>
    </row>
    <row r="386" spans="1:13">
      <c r="A386" t="s">
        <v>13</v>
      </c>
      <c r="B386" t="s">
        <v>241</v>
      </c>
      <c r="C386" t="s">
        <v>298</v>
      </c>
      <c r="D386" t="s">
        <v>241</v>
      </c>
      <c r="E386" t="s">
        <v>16</v>
      </c>
      <c r="F386">
        <v>21</v>
      </c>
      <c r="G386" t="s">
        <v>318</v>
      </c>
      <c r="H386" t="s">
        <v>317</v>
      </c>
      <c r="I386" t="s">
        <v>303</v>
      </c>
      <c r="J386" t="s">
        <v>25</v>
      </c>
      <c r="K386" t="s">
        <v>20</v>
      </c>
      <c r="L386" t="s">
        <v>26</v>
      </c>
      <c r="M386" t="s">
        <v>300</v>
      </c>
    </row>
    <row r="387" spans="1:13">
      <c r="A387" t="s">
        <v>13</v>
      </c>
      <c r="B387" t="s">
        <v>241</v>
      </c>
      <c r="C387" t="s">
        <v>298</v>
      </c>
      <c r="D387" t="s">
        <v>241</v>
      </c>
      <c r="E387" t="s">
        <v>16</v>
      </c>
      <c r="F387">
        <v>22</v>
      </c>
      <c r="G387" t="s">
        <v>319</v>
      </c>
      <c r="H387" t="s">
        <v>319</v>
      </c>
      <c r="I387" t="s">
        <v>24</v>
      </c>
      <c r="J387" t="s">
        <v>25</v>
      </c>
      <c r="K387" t="s">
        <v>20</v>
      </c>
      <c r="L387" t="s">
        <v>26</v>
      </c>
      <c r="M387" t="s">
        <v>300</v>
      </c>
    </row>
    <row r="388" spans="1:13">
      <c r="A388" t="s">
        <v>13</v>
      </c>
      <c r="B388" t="s">
        <v>241</v>
      </c>
      <c r="C388" t="s">
        <v>298</v>
      </c>
      <c r="D388" t="s">
        <v>241</v>
      </c>
      <c r="E388" t="s">
        <v>16</v>
      </c>
      <c r="F388">
        <v>23</v>
      </c>
      <c r="G388" t="s">
        <v>320</v>
      </c>
      <c r="H388" t="s">
        <v>319</v>
      </c>
      <c r="I388" t="s">
        <v>303</v>
      </c>
      <c r="J388" t="s">
        <v>25</v>
      </c>
      <c r="K388" t="s">
        <v>20</v>
      </c>
      <c r="L388" t="s">
        <v>26</v>
      </c>
      <c r="M388" t="s">
        <v>300</v>
      </c>
    </row>
    <row r="389" spans="1:13">
      <c r="A389" t="s">
        <v>13</v>
      </c>
      <c r="B389" t="s">
        <v>241</v>
      </c>
      <c r="C389" t="s">
        <v>298</v>
      </c>
      <c r="D389" t="s">
        <v>241</v>
      </c>
      <c r="E389" t="s">
        <v>16</v>
      </c>
      <c r="F389">
        <v>24</v>
      </c>
      <c r="G389" t="s">
        <v>321</v>
      </c>
      <c r="H389" t="s">
        <v>321</v>
      </c>
      <c r="I389" t="s">
        <v>24</v>
      </c>
      <c r="J389" t="s">
        <v>25</v>
      </c>
      <c r="K389" t="s">
        <v>20</v>
      </c>
      <c r="L389" t="s">
        <v>26</v>
      </c>
      <c r="M389" t="s">
        <v>300</v>
      </c>
    </row>
    <row r="390" spans="1:13">
      <c r="A390" t="s">
        <v>13</v>
      </c>
      <c r="B390" t="s">
        <v>241</v>
      </c>
      <c r="C390" t="s">
        <v>298</v>
      </c>
      <c r="D390" t="s">
        <v>241</v>
      </c>
      <c r="E390" t="s">
        <v>16</v>
      </c>
      <c r="F390">
        <v>25</v>
      </c>
      <c r="G390" t="s">
        <v>322</v>
      </c>
      <c r="H390" t="s">
        <v>321</v>
      </c>
      <c r="I390" t="s">
        <v>303</v>
      </c>
      <c r="J390" t="s">
        <v>25</v>
      </c>
      <c r="K390" t="s">
        <v>20</v>
      </c>
      <c r="L390" t="s">
        <v>26</v>
      </c>
      <c r="M390" t="s">
        <v>300</v>
      </c>
    </row>
    <row r="391" spans="1:13">
      <c r="A391" t="s">
        <v>13</v>
      </c>
      <c r="B391" t="s">
        <v>241</v>
      </c>
      <c r="C391" t="s">
        <v>298</v>
      </c>
      <c r="D391" t="s">
        <v>241</v>
      </c>
      <c r="E391" t="s">
        <v>16</v>
      </c>
      <c r="F391">
        <v>26</v>
      </c>
      <c r="G391" t="s">
        <v>323</v>
      </c>
      <c r="H391" t="s">
        <v>323</v>
      </c>
      <c r="I391" t="s">
        <v>24</v>
      </c>
      <c r="J391" t="s">
        <v>25</v>
      </c>
      <c r="K391" t="s">
        <v>20</v>
      </c>
      <c r="L391" t="s">
        <v>26</v>
      </c>
      <c r="M391" t="s">
        <v>300</v>
      </c>
    </row>
    <row r="392" spans="1:13">
      <c r="A392" t="s">
        <v>13</v>
      </c>
      <c r="B392" t="s">
        <v>241</v>
      </c>
      <c r="C392" t="s">
        <v>298</v>
      </c>
      <c r="D392" t="s">
        <v>241</v>
      </c>
      <c r="E392" t="s">
        <v>16</v>
      </c>
      <c r="F392">
        <v>27</v>
      </c>
      <c r="G392" t="s">
        <v>324</v>
      </c>
      <c r="H392" t="s">
        <v>323</v>
      </c>
      <c r="I392" t="s">
        <v>303</v>
      </c>
      <c r="J392" t="s">
        <v>25</v>
      </c>
      <c r="K392" t="s">
        <v>20</v>
      </c>
      <c r="L392" t="s">
        <v>26</v>
      </c>
      <c r="M392" t="s">
        <v>300</v>
      </c>
    </row>
  </sheetData>
  <autoFilter xmlns:etc="http://www.wps.cn/officeDocument/2017/etCustomData" ref="A1:M39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cols>
    <col min="1" max="1" width="86" customWidth="1"/>
    <col min="4" max="4" width="26.625" customWidth="1"/>
  </cols>
  <sheetData>
    <row r="1" ht="15" spans="1:5">
      <c r="A1" s="13" t="s">
        <v>325</v>
      </c>
    </row>
    <row r="2" spans="1:5">
      <c r="A2" s="3" t="s">
        <v>326</v>
      </c>
      <c r="D2" s="35"/>
    </row>
    <row r="4" spans="1:5">
      <c r="A4" s="15" t="s">
        <v>327</v>
      </c>
      <c r="B4" s="15" t="s">
        <v>328</v>
      </c>
      <c r="C4" s="15" t="s">
        <v>329</v>
      </c>
      <c r="D4" s="15" t="s">
        <v>330</v>
      </c>
      <c r="E4" s="15" t="s">
        <v>331</v>
      </c>
    </row>
    <row r="5" spans="1:5">
      <c r="B5" s="16">
        <f>SUMIFS(明细数据!$L:$L,明细数据!$C:$C,"",明细数据!$K:$K,"本期值",明细数据!$H:$H,$D$2,明细数据!$F:$F,$A5,明细数据!$J:$J,"成交金额")</f>
        <v>0</v>
      </c>
      <c r="C5" s="16">
        <f>SUMIFS(明细数据!$L:$L,明细数据!$C:$C,"",明细数据!$K:$K,"本期值",明细数据!$H:$H,$D$2,明细数据!$F:$F,$A5,明细数据!$J:$J,"成交商品件数")</f>
        <v>0</v>
      </c>
      <c r="D5" s="16">
        <f>SUMIFS(明细数据!$L:$L,明细数据!$C:$C,"",明细数据!$K:$K,"本期值",明细数据!$H:$H,$D$2,明细数据!$F:$F,$A5,明细数据!$J:$J,"成交客户数")</f>
        <v>0</v>
      </c>
      <c r="E5" s="22" t="e">
        <f>IFERROR($B5/SUM($B$5:$B$14),NA())</f>
        <v>#N/A</v>
      </c>
    </row>
    <row r="6" spans="1:5">
      <c r="B6" s="16">
        <f>SUMIFS(明细数据!$L:$L,明细数据!$C:$C,"",明细数据!$K:$K,"本期值",明细数据!$H:$H,$D$2,明细数据!$F:$F,$A6,明细数据!$J:$J,"成交金额")</f>
        <v>0</v>
      </c>
      <c r="C6" s="16">
        <f>SUMIFS(明细数据!$L:$L,明细数据!$C:$C,"",明细数据!$K:$K,"本期值",明细数据!$H:$H,$D$2,明细数据!$F:$F,$A6,明细数据!$J:$J,"成交商品件数")</f>
        <v>0</v>
      </c>
      <c r="D6" s="16">
        <f>SUMIFS(明细数据!$L:$L,明细数据!$C:$C,"",明细数据!$K:$K,"本期值",明细数据!$H:$H,$D$2,明细数据!$F:$F,$A6,明细数据!$J:$J,"成交客户数")</f>
        <v>0</v>
      </c>
      <c r="E6" s="22" t="e">
        <f>IFERROR($B6/SUM($B$5:$B$14),NA())</f>
        <v>#N/A</v>
      </c>
    </row>
    <row r="7" spans="1:5">
      <c r="B7" s="16">
        <f>SUMIFS(明细数据!$L:$L,明细数据!$C:$C,"",明细数据!$K:$K,"本期值",明细数据!$H:$H,$D$2,明细数据!$F:$F,$A7,明细数据!$J:$J,"成交金额")</f>
        <v>0</v>
      </c>
      <c r="C7" s="16">
        <f>SUMIFS(明细数据!$L:$L,明细数据!$C:$C,"",明细数据!$K:$K,"本期值",明细数据!$H:$H,$D$2,明细数据!$F:$F,$A7,明细数据!$J:$J,"成交商品件数")</f>
        <v>0</v>
      </c>
      <c r="D7" s="16">
        <f>SUMIFS(明细数据!$L:$L,明细数据!$C:$C,"",明细数据!$K:$K,"本期值",明细数据!$H:$H,$D$2,明细数据!$F:$F,$A7,明细数据!$J:$J,"成交客户数")</f>
        <v>0</v>
      </c>
      <c r="E7" s="22" t="e">
        <f>IFERROR($B7/SUM($B$5:$B$14),NA())</f>
        <v>#N/A</v>
      </c>
    </row>
    <row r="8" spans="1:5">
      <c r="B8" s="16">
        <f>SUMIFS(明细数据!$L:$L,明细数据!$C:$C,"",明细数据!$K:$K,"本期值",明细数据!$H:$H,$D$2,明细数据!$F:$F,$A8,明细数据!$J:$J,"成交金额")</f>
        <v>0</v>
      </c>
      <c r="C8" s="16">
        <f>SUMIFS(明细数据!$L:$L,明细数据!$C:$C,"",明细数据!$K:$K,"本期值",明细数据!$H:$H,$D$2,明细数据!$F:$F,$A8,明细数据!$J:$J,"成交商品件数")</f>
        <v>0</v>
      </c>
      <c r="D8" s="16">
        <f>SUMIFS(明细数据!$L:$L,明细数据!$C:$C,"",明细数据!$K:$K,"本期值",明细数据!$H:$H,$D$2,明细数据!$F:$F,$A8,明细数据!$J:$J,"成交客户数")</f>
        <v>0</v>
      </c>
      <c r="E8" s="22" t="e">
        <f>IFERROR($B8/SUM($B$5:$B$14),NA())</f>
        <v>#N/A</v>
      </c>
    </row>
    <row r="9" spans="1:5">
      <c r="B9" s="16">
        <f>SUMIFS(明细数据!$L:$L,明细数据!$C:$C,"",明细数据!$K:$K,"本期值",明细数据!$H:$H,$D$2,明细数据!$F:$F,$A9,明细数据!$J:$J,"成交金额")</f>
        <v>0</v>
      </c>
      <c r="C9" s="16">
        <f>SUMIFS(明细数据!$L:$L,明细数据!$C:$C,"",明细数据!$K:$K,"本期值",明细数据!$H:$H,$D$2,明细数据!$F:$F,$A9,明细数据!$J:$J,"成交商品件数")</f>
        <v>0</v>
      </c>
      <c r="D9" s="16">
        <f>SUMIFS(明细数据!$L:$L,明细数据!$C:$C,"",明细数据!$K:$K,"本期值",明细数据!$H:$H,$D$2,明细数据!$F:$F,$A9,明细数据!$J:$J,"成交客户数")</f>
        <v>0</v>
      </c>
      <c r="E9" s="22" t="e">
        <f>IFERROR($B9/SUM($B$5:$B$14),NA())</f>
        <v>#N/A</v>
      </c>
    </row>
    <row r="10" spans="1:5">
      <c r="B10" s="16">
        <f>SUMIFS(明细数据!$L:$L,明细数据!$C:$C,"",明细数据!$K:$K,"本期值",明细数据!$H:$H,$D$2,明细数据!$F:$F,$A10,明细数据!$J:$J,"成交金额")</f>
        <v>0</v>
      </c>
      <c r="C10" s="16">
        <f>SUMIFS(明细数据!$L:$L,明细数据!$C:$C,"",明细数据!$K:$K,"本期值",明细数据!$H:$H,$D$2,明细数据!$F:$F,$A10,明细数据!$J:$J,"成交商品件数")</f>
        <v>0</v>
      </c>
      <c r="D10" s="16">
        <f>SUMIFS(明细数据!$L:$L,明细数据!$C:$C,"",明细数据!$K:$K,"本期值",明细数据!$H:$H,$D$2,明细数据!$F:$F,$A10,明细数据!$J:$J,"成交客户数")</f>
        <v>0</v>
      </c>
      <c r="E10" s="22" t="e">
        <f>IFERROR($B10/SUM($B$5:$B$14),NA())</f>
        <v>#N/A</v>
      </c>
    </row>
    <row r="11" spans="1:5">
      <c r="B11" s="16">
        <f>SUMIFS(明细数据!$L:$L,明细数据!$C:$C,"",明细数据!$K:$K,"本期值",明细数据!$H:$H,$D$2,明细数据!$F:$F,$A11,明细数据!$J:$J,"成交金额")</f>
        <v>0</v>
      </c>
      <c r="C11" s="16">
        <f>SUMIFS(明细数据!$L:$L,明细数据!$C:$C,"",明细数据!$K:$K,"本期值",明细数据!$H:$H,$D$2,明细数据!$F:$F,$A11,明细数据!$J:$J,"成交商品件数")</f>
        <v>0</v>
      </c>
      <c r="D11" s="16">
        <f>SUMIFS(明细数据!$L:$L,明细数据!$C:$C,"",明细数据!$K:$K,"本期值",明细数据!$H:$H,$D$2,明细数据!$F:$F,$A11,明细数据!$J:$J,"成交客户数")</f>
        <v>0</v>
      </c>
      <c r="E11" s="22" t="e">
        <f>IFERROR($B11/SUM($B$5:$B$14),NA())</f>
        <v>#N/A</v>
      </c>
    </row>
    <row r="12" spans="1:5">
      <c r="B12" s="16">
        <f>SUMIFS(明细数据!$L:$L,明细数据!$C:$C,"",明细数据!$K:$K,"本期值",明细数据!$H:$H,$D$2,明细数据!$F:$F,$A12,明细数据!$J:$J,"成交金额")</f>
        <v>0</v>
      </c>
      <c r="C12" s="16">
        <f>SUMIFS(明细数据!$L:$L,明细数据!$C:$C,"",明细数据!$K:$K,"本期值",明细数据!$H:$H,$D$2,明细数据!$F:$F,$A12,明细数据!$J:$J,"成交商品件数")</f>
        <v>0</v>
      </c>
      <c r="D12" s="16">
        <f>SUMIFS(明细数据!$L:$L,明细数据!$C:$C,"",明细数据!$K:$K,"本期值",明细数据!$H:$H,$D$2,明细数据!$F:$F,$A12,明细数据!$J:$J,"成交客户数")</f>
        <v>0</v>
      </c>
      <c r="E12" s="22" t="e">
        <f>IFERROR($B12/SUM($B$5:$B$14),NA())</f>
        <v>#N/A</v>
      </c>
    </row>
    <row r="13" spans="1:5">
      <c r="B13" s="16">
        <f>SUMIFS(明细数据!$L:$L,明细数据!$C:$C,"",明细数据!$K:$K,"本期值",明细数据!$H:$H,$D$2,明细数据!$F:$F,$A13,明细数据!$J:$J,"成交金额")</f>
        <v>0</v>
      </c>
      <c r="C13" s="16">
        <f>SUMIFS(明细数据!$L:$L,明细数据!$C:$C,"",明细数据!$K:$K,"本期值",明细数据!$H:$H,$D$2,明细数据!$F:$F,$A13,明细数据!$J:$J,"成交商品件数")</f>
        <v>0</v>
      </c>
      <c r="D13" s="16">
        <f>SUMIFS(明细数据!$L:$L,明细数据!$C:$C,"",明细数据!$K:$K,"本期值",明细数据!$H:$H,$D$2,明细数据!$F:$F,$A13,明细数据!$J:$J,"成交客户数")</f>
        <v>0</v>
      </c>
      <c r="E13" s="22" t="e">
        <f>IFERROR($B13/SUM($B$5:$B$14),NA())</f>
        <v>#N/A</v>
      </c>
    </row>
    <row r="14" spans="1:5">
      <c r="B14" s="16">
        <f>SUMIFS(明细数据!$L:$L,明细数据!$C:$C,"",明细数据!$K:$K,"本期值",明细数据!$H:$H,$D$2,明细数据!$F:$F,$A14,明细数据!$J:$J,"成交金额")</f>
        <v>0</v>
      </c>
      <c r="C14" s="16">
        <f>SUMIFS(明细数据!$L:$L,明细数据!$C:$C,"",明细数据!$K:$K,"本期值",明细数据!$H:$H,$D$2,明细数据!$F:$F,$A14,明细数据!$J:$J,"成交商品件数")</f>
        <v>0</v>
      </c>
      <c r="D14" s="16">
        <f>SUMIFS(明细数据!$L:$L,明细数据!$C:$C,"",明细数据!$K:$K,"本期值",明细数据!$H:$H,$D$2,明细数据!$F:$F,$A14,明细数据!$J:$J,"成交客户数")</f>
        <v>0</v>
      </c>
      <c r="E14" s="22" t="e">
        <f>IFERROR($B14/SUM($B$5:$B$14),NA())</f>
        <v>#N/A</v>
      </c>
    </row>
    <row r="16" spans="1:5">
      <c r="A16" s="30" t="s">
        <v>332</v>
      </c>
    </row>
  </sheetData>
  <dataValidations count="1">
    <dataValidation type="list" allowBlank="1" showInputMessage="1" showErrorMessage="1" sqref="D2">
      <formula1>图表数据!$T$17:$T$28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workbookViewId="0">
      <selection activeCell="A1" sqref="A1"/>
    </sheetView>
  </sheetViews>
  <sheetFormatPr defaultColWidth="9" defaultRowHeight="13.5"/>
  <cols>
    <col min="10" max="10" width="18.625" customWidth="1"/>
    <col min="11" max="11" width="14.625" customWidth="1"/>
    <col min="12" max="12" width="40.625" customWidth="1"/>
  </cols>
  <sheetData>
    <row r="1" ht="22.5" spans="1:12">
      <c r="A1" s="32" t="s">
        <v>333</v>
      </c>
    </row>
    <row r="2" spans="1:12">
      <c r="A2" s="30" t="s">
        <v>334</v>
      </c>
    </row>
    <row r="4" ht="14.25" spans="1:12">
      <c r="J4" s="33" t="s">
        <v>335</v>
      </c>
    </row>
    <row r="5" spans="1:12">
      <c r="J5" s="15" t="s">
        <v>336</v>
      </c>
      <c r="K5" s="15" t="s">
        <v>337</v>
      </c>
      <c r="L5" s="15" t="s">
        <v>338</v>
      </c>
    </row>
    <row r="6" spans="1:12">
      <c r="J6" t="s">
        <v>339</v>
      </c>
      <c r="K6" s="34">
        <f>目标预算!$B$12</f>
        <v>0</v>
      </c>
      <c r="L6" s="28" t="s">
        <v>340</v>
      </c>
    </row>
    <row r="7" spans="1:12">
      <c r="J7" t="s">
        <v>341</v>
      </c>
      <c r="K7" s="34">
        <f>目标预算!$B$14</f>
        <v>0</v>
      </c>
      <c r="L7" s="28" t="s">
        <v>342</v>
      </c>
    </row>
    <row r="8" spans="1:12">
      <c r="A8" s="30" t="s">
        <v>343</v>
      </c>
      <c r="J8" t="s">
        <v>344</v>
      </c>
      <c r="K8" s="34" t="e">
        <f>目标预算!$B$15</f>
        <v>#N/A</v>
      </c>
      <c r="L8" s="28" t="s">
        <v>345</v>
      </c>
    </row>
    <row r="9" spans="1:12">
      <c r="J9" t="s">
        <v>346</v>
      </c>
      <c r="K9" s="22" t="e">
        <f>目标预算!$B$16</f>
        <v>#N/A</v>
      </c>
      <c r="L9" s="28" t="s">
        <v>347</v>
      </c>
    </row>
    <row r="10" spans="1:12">
      <c r="J10" t="s">
        <v>348</v>
      </c>
      <c r="K10" s="22">
        <f>目标预算!$B$17</f>
        <v>0.0666666666666667</v>
      </c>
      <c r="L10" s="28" t="s">
        <v>349</v>
      </c>
    </row>
    <row r="11" spans="1:12">
      <c r="J11" t="s">
        <v>350</v>
      </c>
      <c r="K11" s="22" t="e">
        <f>目标预算!$B$18</f>
        <v>#N/A</v>
      </c>
      <c r="L11" s="28" t="s">
        <v>351</v>
      </c>
    </row>
    <row r="12" spans="1:12">
      <c r="J12" t="s">
        <v>352</v>
      </c>
      <c r="K12" s="21" t="e">
        <f>目标预算!$B$19</f>
        <v>#N/A</v>
      </c>
      <c r="L12" s="28" t="s">
        <v>353</v>
      </c>
    </row>
    <row r="13" spans="1:12">
      <c r="J13" t="s">
        <v>354</v>
      </c>
      <c r="K13" s="22" t="e">
        <f>目标预算!$B$21</f>
        <v>#N/A</v>
      </c>
      <c r="L13" s="28" t="s">
        <v>355</v>
      </c>
    </row>
    <row r="14" spans="1:12">
      <c r="J14" t="s">
        <v>356</v>
      </c>
      <c r="K14" s="22" t="e">
        <f>目标预算!$B$22</f>
        <v>#N/A</v>
      </c>
      <c r="L14" s="28" t="s">
        <v>357</v>
      </c>
    </row>
    <row r="15" spans="1:12">
      <c r="J15" t="s">
        <v>358</v>
      </c>
      <c r="K15" s="22" t="e">
        <f>目标预算!$B$23</f>
        <v>#N/A</v>
      </c>
      <c r="L15" s="28" t="s">
        <v>359</v>
      </c>
    </row>
    <row r="16" spans="1:12">
      <c r="J16" t="s">
        <v>360</v>
      </c>
      <c r="K16" s="29" t="e">
        <f>目标预算!$B$24</f>
        <v>#N/A</v>
      </c>
      <c r="L16" s="28" t="s">
        <v>361</v>
      </c>
    </row>
    <row r="18" spans="22:23">
      <c r="V18" s="3" t="s">
        <v>362</v>
      </c>
      <c r="W18" s="22" t="str">
        <f>IFERROR(图表数据!W11,"-")</f>
        <v>-</v>
      </c>
    </row>
    <row r="19" spans="22:23">
      <c r="V19" s="3" t="s">
        <v>358</v>
      </c>
      <c r="W19" s="22" t="e">
        <f>目标预算!H7</f>
        <v>#N/A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workbookViewId="0">
      <selection activeCell="A1" sqref="A1"/>
    </sheetView>
  </sheetViews>
  <sheetFormatPr defaultColWidth="9" defaultRowHeight="13.5"/>
  <cols>
    <col min="1" max="1" width="90.625" customWidth="1"/>
    <col min="2" max="2" width="7.375" customWidth="1"/>
    <col min="6" max="6" width="10.375" customWidth="1"/>
    <col min="13" max="18" width="11.5" hidden="1" customWidth="1"/>
    <col min="20" max="20" width="38.75" customWidth="1"/>
  </cols>
  <sheetData>
    <row r="1" spans="1:24">
      <c r="A1" s="30" t="s">
        <v>363</v>
      </c>
    </row>
    <row r="3" spans="1:24">
      <c r="A3" s="15" t="s">
        <v>327</v>
      </c>
      <c r="B3" s="15" t="s">
        <v>328</v>
      </c>
      <c r="C3" s="15" t="s">
        <v>364</v>
      </c>
      <c r="D3" s="15" t="s">
        <v>365</v>
      </c>
      <c r="F3" s="15" t="s">
        <v>366</v>
      </c>
      <c r="G3" s="15" t="s">
        <v>367</v>
      </c>
      <c r="H3" s="15" t="s">
        <v>368</v>
      </c>
      <c r="I3" s="15" t="s">
        <v>369</v>
      </c>
      <c r="J3" s="15" t="s">
        <v>370</v>
      </c>
      <c r="K3" s="15" t="s">
        <v>371</v>
      </c>
      <c r="T3" s="3" t="s">
        <v>372</v>
      </c>
    </row>
    <row r="4" spans="1:24">
      <c r="B4" s="16">
        <f>SUMIFS(明细数据!$L:$L,明细数据!$C:$C,"流量来源_流量结构分析_场域来源",明细数据!$J:$J,"引入成交金额",明细数据!$K:$K,"本期值",明细数据!$F:$F,$A4)</f>
        <v>0</v>
      </c>
      <c r="C4" s="22" t="e">
        <f>IFERROR($B4/SUM($B$4:$B$13),NA())</f>
        <v>#N/A</v>
      </c>
      <c r="D4" t="str">
        <f>IF($B4&lt;=0,"-",RANK($B4,$B$4:$B$13))</f>
        <v>-</v>
      </c>
      <c r="F4" s="2">
        <v>46282</v>
      </c>
      <c r="G4" s="16">
        <f>SUMIFS(明细数据!$L:$L,明细数据!$C:$C,"交易概况",明细数据!$J:$J,"成交金额",明细数据!$K:$K,"本期值",明细数据!$E:$E,"&gt;="&amp;$M4,明细数据!$E:$E,"&lt;="&amp;$N4)</f>
        <v>0</v>
      </c>
      <c r="H4" s="16">
        <f>SUMIFS(明细数据!$L:$L,明细数据!$C:$C,"交易概况",明细数据!$J:$J,"成交金额",明细数据!$K:$K,"本期值",明细数据!$E:$E,"&gt;="&amp;$O4,明细数据!$E:$E,"&lt;="&amp;$P4)</f>
        <v>0</v>
      </c>
      <c r="I4" s="22" t="e">
        <f>IFERROR(($G4-$K4)/$K4,NA())</f>
        <v>#N/A</v>
      </c>
      <c r="J4" s="22" t="e">
        <f>IFERROR(($G4-$H4)/$H4,NA())</f>
        <v>#N/A</v>
      </c>
      <c r="K4" s="16">
        <f>SUMIFS(明细数据!$L:$L,明细数据!$C:$C,"交易概况",明细数据!$J:$J,"成交金额",明细数据!$K:$K,"本期值",明细数据!$E:$E,"&gt;="&amp;$Q4,明细数据!$E:$E,"&lt;="&amp;$R4)</f>
        <v>0</v>
      </c>
      <c r="M4" s="5">
        <v>46282</v>
      </c>
      <c r="N4" s="5">
        <v>46282</v>
      </c>
      <c r="O4" s="5">
        <v>46281</v>
      </c>
      <c r="P4" s="5">
        <v>46281</v>
      </c>
      <c r="Q4" s="5">
        <v>45917</v>
      </c>
      <c r="R4" s="5">
        <v>45917</v>
      </c>
      <c r="T4" s="15" t="s">
        <v>373</v>
      </c>
      <c r="U4" s="15" t="s">
        <v>374</v>
      </c>
      <c r="V4" s="15" t="s">
        <v>375</v>
      </c>
      <c r="W4" s="15" t="s">
        <v>376</v>
      </c>
    </row>
    <row r="5" spans="1:24">
      <c r="B5" s="16">
        <f>SUMIFS(明细数据!$L:$L,明细数据!$C:$C,"流量来源_流量结构分析_场域来源",明细数据!$J:$J,"引入成交金额",明细数据!$K:$K,"本期值",明细数据!$F:$F,$A5)</f>
        <v>0</v>
      </c>
      <c r="C5" s="22" t="e">
        <f>IFERROR($B5/SUM($B$4:$B$13),NA())</f>
        <v>#N/A</v>
      </c>
      <c r="D5" t="str">
        <f>IF($B5&lt;=0,"-",RANK($B5,$B$4:$B$13))</f>
        <v>-</v>
      </c>
      <c r="F5" s="2">
        <v>46283</v>
      </c>
      <c r="G5" s="16">
        <f>SUMIFS(明细数据!$L:$L,明细数据!$C:$C,"交易概况",明细数据!$J:$J,"成交金额",明细数据!$K:$K,"本期值",明细数据!$E:$E,"&gt;="&amp;$M5,明细数据!$E:$E,"&lt;="&amp;$N5)</f>
        <v>0</v>
      </c>
      <c r="H5" s="16">
        <f>SUMIFS(明细数据!$L:$L,明细数据!$C:$C,"交易概况",明细数据!$J:$J,"成交金额",明细数据!$K:$K,"本期值",明细数据!$E:$E,"&gt;="&amp;$O5,明细数据!$E:$E,"&lt;="&amp;$P5)</f>
        <v>0</v>
      </c>
      <c r="I5" s="22" t="e">
        <f>IFERROR(($G5-$K5)/$K5,NA())</f>
        <v>#N/A</v>
      </c>
      <c r="J5" s="22" t="e">
        <f>IFERROR(($G5-$H5)/$H5,NA())</f>
        <v>#N/A</v>
      </c>
      <c r="K5" s="16">
        <f>SUMIFS(明细数据!$L:$L,明细数据!$C:$C,"交易概况",明细数据!$J:$J,"成交金额",明细数据!$K:$K,"本期值",明细数据!$E:$E,"&gt;="&amp;$Q5,明细数据!$E:$E,"&lt;="&amp;$R5)</f>
        <v>0</v>
      </c>
      <c r="M5" s="5">
        <v>46283</v>
      </c>
      <c r="N5" s="5">
        <v>46283</v>
      </c>
      <c r="O5" s="5">
        <v>46282</v>
      </c>
      <c r="P5" s="5">
        <v>46282</v>
      </c>
      <c r="Q5" s="5">
        <v>45918</v>
      </c>
      <c r="R5" s="5">
        <v>45918</v>
      </c>
      <c r="T5" t="s">
        <v>377</v>
      </c>
      <c r="U5" s="16" t="e">
        <f>目标预算!$H$3</f>
        <v>#N/A</v>
      </c>
      <c r="V5" s="16">
        <f>SUMIFS(明细数据!$L:$L,明细数据!$C:$C,"交易概况",明细数据!$J:$J,"成交金额",明细数据!$K:$K,"本期值",明细数据!$E:$E,"&gt;="&amp;目标预算!$H$2,明细数据!$E:$E,"&lt;="&amp;目标预算!$H$2+32-DAY(目标预算!$H$2))</f>
        <v>0</v>
      </c>
      <c r="W5" s="22" t="e">
        <f>IFERROR($V5/$U5,NA())</f>
        <v>#N/A</v>
      </c>
    </row>
    <row r="6" spans="1:24">
      <c r="B6" s="16">
        <f>SUMIFS(明细数据!$L:$L,明细数据!$C:$C,"流量来源_流量结构分析_场域来源",明细数据!$J:$J,"引入成交金额",明细数据!$K:$K,"本期值",明细数据!$F:$F,$A6)</f>
        <v>0</v>
      </c>
      <c r="C6" s="22" t="e">
        <f>IFERROR($B6/SUM($B$4:$B$13),NA())</f>
        <v>#N/A</v>
      </c>
      <c r="D6" t="str">
        <f>IF($B6&lt;=0,"-",RANK($B6,$B$4:$B$13))</f>
        <v>-</v>
      </c>
      <c r="F6" s="2">
        <v>46284</v>
      </c>
      <c r="G6" s="16">
        <f>SUMIFS(明细数据!$L:$L,明细数据!$C:$C,"交易概况",明细数据!$J:$J,"成交金额",明细数据!$K:$K,"本期值",明细数据!$E:$E,"&gt;="&amp;$M6,明细数据!$E:$E,"&lt;="&amp;$N6)</f>
        <v>0</v>
      </c>
      <c r="H6" s="16">
        <f>SUMIFS(明细数据!$L:$L,明细数据!$C:$C,"交易概况",明细数据!$J:$J,"成交金额",明细数据!$K:$K,"本期值",明细数据!$E:$E,"&gt;="&amp;$O6,明细数据!$E:$E,"&lt;="&amp;$P6)</f>
        <v>0</v>
      </c>
      <c r="I6" s="22" t="e">
        <f>IFERROR(($G6-$K6)/$K6,NA())</f>
        <v>#N/A</v>
      </c>
      <c r="J6" s="22" t="e">
        <f>IFERROR(($G6-$H6)/$H6,NA())</f>
        <v>#N/A</v>
      </c>
      <c r="K6" s="16">
        <f>SUMIFS(明细数据!$L:$L,明细数据!$C:$C,"交易概况",明细数据!$J:$J,"成交金额",明细数据!$K:$K,"本期值",明细数据!$E:$E,"&gt;="&amp;$Q6,明细数据!$E:$E,"&lt;="&amp;$R6)</f>
        <v>0</v>
      </c>
      <c r="M6" s="5">
        <v>46284</v>
      </c>
      <c r="N6" s="5">
        <v>46284</v>
      </c>
      <c r="O6" s="5">
        <v>46283</v>
      </c>
      <c r="P6" s="5">
        <v>46283</v>
      </c>
      <c r="Q6" s="5">
        <v>45919</v>
      </c>
      <c r="R6" s="5">
        <v>45919</v>
      </c>
      <c r="T6" t="s">
        <v>378</v>
      </c>
      <c r="U6" s="16">
        <f>目标预算!$H$4</f>
        <v>0</v>
      </c>
      <c r="V6" s="16">
        <f>SUMIFS(明细数据!$L:$L,明细数据!$C:$C,"交易概况",明细数据!$J:$J,"成交金额",明细数据!$K:$K,"本期值",明细数据!$E:$E,"&gt;="&amp;DATE(YEAR(目标预算!$H$2),1,1),明细数据!$E:$E,"&lt;="&amp;目标预算!$H$2+32-DAY(目标预算!$H$2))</f>
        <v>0</v>
      </c>
      <c r="W6" s="22" t="e">
        <f>IFERROR($V6/$U6,NA())</f>
        <v>#N/A</v>
      </c>
    </row>
    <row r="7" spans="1:24">
      <c r="B7" s="16">
        <f>SUMIFS(明细数据!$L:$L,明细数据!$C:$C,"流量来源_流量结构分析_场域来源",明细数据!$J:$J,"引入成交金额",明细数据!$K:$K,"本期值",明细数据!$F:$F,$A7)</f>
        <v>0</v>
      </c>
      <c r="C7" s="22" t="e">
        <f>IFERROR($B7/SUM($B$4:$B$13),NA())</f>
        <v>#N/A</v>
      </c>
      <c r="D7" t="str">
        <f>IF($B7&lt;=0,"-",RANK($B7,$B$4:$B$13))</f>
        <v>-</v>
      </c>
      <c r="F7" s="2">
        <v>46285</v>
      </c>
      <c r="G7" s="16">
        <f>SUMIFS(明细数据!$L:$L,明细数据!$C:$C,"交易概况",明细数据!$J:$J,"成交金额",明细数据!$K:$K,"本期值",明细数据!$E:$E,"&gt;="&amp;$M7,明细数据!$E:$E,"&lt;="&amp;$N7)</f>
        <v>0</v>
      </c>
      <c r="H7" s="16">
        <f>SUMIFS(明细数据!$L:$L,明细数据!$C:$C,"交易概况",明细数据!$J:$J,"成交金额",明细数据!$K:$K,"本期值",明细数据!$E:$E,"&gt;="&amp;$O7,明细数据!$E:$E,"&lt;="&amp;$P7)</f>
        <v>0</v>
      </c>
      <c r="I7" s="22" t="e">
        <f>IFERROR(($G7-$K7)/$K7,NA())</f>
        <v>#N/A</v>
      </c>
      <c r="J7" s="22" t="e">
        <f>IFERROR(($G7-$H7)/$H7,NA())</f>
        <v>#N/A</v>
      </c>
      <c r="K7" s="16">
        <f>SUMIFS(明细数据!$L:$L,明细数据!$C:$C,"交易概况",明细数据!$J:$J,"成交金额",明细数据!$K:$K,"本期值",明细数据!$E:$E,"&gt;="&amp;$Q7,明细数据!$E:$E,"&lt;="&amp;$R7)</f>
        <v>0</v>
      </c>
      <c r="M7" s="5">
        <v>46285</v>
      </c>
      <c r="N7" s="5">
        <v>46285</v>
      </c>
      <c r="O7" s="5">
        <v>46284</v>
      </c>
      <c r="P7" s="5">
        <v>46284</v>
      </c>
      <c r="Q7" s="5">
        <v>45920</v>
      </c>
      <c r="R7" s="5">
        <v>45920</v>
      </c>
    </row>
    <row r="8" spans="1:24">
      <c r="B8" s="16">
        <f>SUMIFS(明细数据!$L:$L,明细数据!$C:$C,"流量来源_流量结构分析_场域来源",明细数据!$J:$J,"引入成交金额",明细数据!$K:$K,"本期值",明细数据!$F:$F,$A8)</f>
        <v>0</v>
      </c>
      <c r="C8" s="22" t="e">
        <f>IFERROR($B8/SUM($B$4:$B$13),NA())</f>
        <v>#N/A</v>
      </c>
      <c r="D8" t="str">
        <f>IF($B8&lt;=0,"-",RANK($B8,$B$4:$B$13))</f>
        <v>-</v>
      </c>
      <c r="F8" s="2">
        <v>46286</v>
      </c>
      <c r="G8" s="16">
        <f>SUMIFS(明细数据!$L:$L,明细数据!$C:$C,"交易概况",明细数据!$J:$J,"成交金额",明细数据!$K:$K,"本期值",明细数据!$E:$E,"&gt;="&amp;$M8,明细数据!$E:$E,"&lt;="&amp;$N8)</f>
        <v>0</v>
      </c>
      <c r="H8" s="16">
        <f>SUMIFS(明细数据!$L:$L,明细数据!$C:$C,"交易概况",明细数据!$J:$J,"成交金额",明细数据!$K:$K,"本期值",明细数据!$E:$E,"&gt;="&amp;$O8,明细数据!$E:$E,"&lt;="&amp;$P8)</f>
        <v>0</v>
      </c>
      <c r="I8" s="22" t="e">
        <f>IFERROR(($G8-$K8)/$K8,NA())</f>
        <v>#N/A</v>
      </c>
      <c r="J8" s="22" t="e">
        <f>IFERROR(($G8-$H8)/$H8,NA())</f>
        <v>#N/A</v>
      </c>
      <c r="K8" s="16">
        <f>SUMIFS(明细数据!$L:$L,明细数据!$C:$C,"交易概况",明细数据!$J:$J,"成交金额",明细数据!$K:$K,"本期值",明细数据!$E:$E,"&gt;="&amp;$Q8,明细数据!$E:$E,"&lt;="&amp;$R8)</f>
        <v>0</v>
      </c>
      <c r="M8" s="5">
        <v>46286</v>
      </c>
      <c r="N8" s="5">
        <v>46286</v>
      </c>
      <c r="O8" s="5">
        <v>46285</v>
      </c>
      <c r="P8" s="5">
        <v>46285</v>
      </c>
      <c r="Q8" s="5">
        <v>45921</v>
      </c>
      <c r="R8" s="5">
        <v>45921</v>
      </c>
    </row>
    <row r="9" spans="1:24">
      <c r="B9" s="16">
        <f>SUMIFS(明细数据!$L:$L,明细数据!$C:$C,"流量来源_流量结构分析_场域来源",明细数据!$J:$J,"引入成交金额",明细数据!$K:$K,"本期值",明细数据!$F:$F,$A9)</f>
        <v>0</v>
      </c>
      <c r="C9" s="22" t="e">
        <f>IFERROR($B9/SUM($B$4:$B$13),NA())</f>
        <v>#N/A</v>
      </c>
      <c r="D9" t="str">
        <f>IF($B9&lt;=0,"-",RANK($B9,$B$4:$B$13))</f>
        <v>-</v>
      </c>
      <c r="F9" s="2">
        <v>46287</v>
      </c>
      <c r="G9" s="16">
        <f>SUMIFS(明细数据!$L:$L,明细数据!$C:$C,"交易概况",明细数据!$J:$J,"成交金额",明细数据!$K:$K,"本期值",明细数据!$E:$E,"&gt;="&amp;$M9,明细数据!$E:$E,"&lt;="&amp;$N9)</f>
        <v>0</v>
      </c>
      <c r="H9" s="16">
        <f>SUMIFS(明细数据!$L:$L,明细数据!$C:$C,"交易概况",明细数据!$J:$J,"成交金额",明细数据!$K:$K,"本期值",明细数据!$E:$E,"&gt;="&amp;$O9,明细数据!$E:$E,"&lt;="&amp;$P9)</f>
        <v>0</v>
      </c>
      <c r="I9" s="22" t="e">
        <f>IFERROR(($G9-$K9)/$K9,NA())</f>
        <v>#N/A</v>
      </c>
      <c r="J9" s="22" t="e">
        <f>IFERROR(($G9-$H9)/$H9,NA())</f>
        <v>#N/A</v>
      </c>
      <c r="K9" s="16">
        <f>SUMIFS(明细数据!$L:$L,明细数据!$C:$C,"交易概况",明细数据!$J:$J,"成交金额",明细数据!$K:$K,"本期值",明细数据!$E:$E,"&gt;="&amp;$Q9,明细数据!$E:$E,"&lt;="&amp;$R9)</f>
        <v>0</v>
      </c>
      <c r="M9" s="5">
        <v>46287</v>
      </c>
      <c r="N9" s="5">
        <v>46287</v>
      </c>
      <c r="O9" s="5">
        <v>46286</v>
      </c>
      <c r="P9" s="5">
        <v>46286</v>
      </c>
      <c r="Q9" s="5">
        <v>45922</v>
      </c>
      <c r="R9" s="5">
        <v>45922</v>
      </c>
      <c r="T9" s="3" t="s">
        <v>379</v>
      </c>
    </row>
    <row r="10" spans="1:24">
      <c r="B10" s="16">
        <f>SUMIFS(明细数据!$L:$L,明细数据!$C:$C,"流量来源_流量结构分析_场域来源",明细数据!$J:$J,"引入成交金额",明细数据!$K:$K,"本期值",明细数据!$F:$F,$A10)</f>
        <v>0</v>
      </c>
      <c r="C10" s="22" t="e">
        <f>IFERROR($B10/SUM($B$4:$B$13),NA())</f>
        <v>#N/A</v>
      </c>
      <c r="D10" t="str">
        <f>IF($B10&lt;=0,"-",RANK($B10,$B$4:$B$13))</f>
        <v>-</v>
      </c>
      <c r="F10" s="2">
        <v>46288</v>
      </c>
      <c r="G10" s="16">
        <f>SUMIFS(明细数据!$L:$L,明细数据!$C:$C,"交易概况",明细数据!$J:$J,"成交金额",明细数据!$K:$K,"本期值",明细数据!$E:$E,"&gt;="&amp;$M10,明细数据!$E:$E,"&lt;="&amp;$N10)</f>
        <v>0</v>
      </c>
      <c r="H10" s="16">
        <f>SUMIFS(明细数据!$L:$L,明细数据!$C:$C,"交易概况",明细数据!$J:$J,"成交金额",明细数据!$K:$K,"本期值",明细数据!$E:$E,"&gt;="&amp;$O10,明细数据!$E:$E,"&lt;="&amp;$P10)</f>
        <v>0</v>
      </c>
      <c r="I10" s="22" t="e">
        <f>IFERROR(($G10-$K10)/$K10,NA())</f>
        <v>#N/A</v>
      </c>
      <c r="J10" s="22" t="e">
        <f>IFERROR(($G10-$H10)/$H10,NA())</f>
        <v>#N/A</v>
      </c>
      <c r="K10" s="16">
        <f>SUMIFS(明细数据!$L:$L,明细数据!$C:$C,"交易概况",明细数据!$J:$J,"成交金额",明细数据!$K:$K,"本期值",明细数据!$E:$E,"&gt;="&amp;$Q10,明细数据!$E:$E,"&lt;="&amp;$R10)</f>
        <v>0</v>
      </c>
      <c r="M10" s="5">
        <v>46288</v>
      </c>
      <c r="N10" s="5">
        <v>46288</v>
      </c>
      <c r="O10" s="5">
        <v>46287</v>
      </c>
      <c r="P10" s="5">
        <v>46287</v>
      </c>
      <c r="Q10" s="5">
        <v>45923</v>
      </c>
      <c r="R10" s="5">
        <v>45923</v>
      </c>
      <c r="T10" s="15" t="s">
        <v>373</v>
      </c>
      <c r="U10" s="15" t="s">
        <v>380</v>
      </c>
      <c r="V10" s="15" t="s">
        <v>352</v>
      </c>
      <c r="W10" s="15" t="s">
        <v>362</v>
      </c>
    </row>
    <row r="11" spans="1:24">
      <c r="B11" s="16">
        <f>SUMIFS(明细数据!$L:$L,明细数据!$C:$C,"流量来源_流量结构分析_场域来源",明细数据!$J:$J,"引入成交金额",明细数据!$K:$K,"本期值",明细数据!$F:$F,$A11)</f>
        <v>0</v>
      </c>
      <c r="C11" s="22" t="e">
        <f>IFERROR($B11/SUM($B$4:$B$13),NA())</f>
        <v>#N/A</v>
      </c>
      <c r="D11" t="str">
        <f>IF($B11&lt;=0,"-",RANK($B11,$B$4:$B$13))</f>
        <v>-</v>
      </c>
      <c r="F11" s="2">
        <v>46289</v>
      </c>
      <c r="G11" s="16">
        <f>SUMIFS(明细数据!$L:$L,明细数据!$C:$C,"交易概况",明细数据!$J:$J,"成交金额",明细数据!$K:$K,"本期值",明细数据!$E:$E,"&gt;="&amp;$M11,明细数据!$E:$E,"&lt;="&amp;$N11)</f>
        <v>0</v>
      </c>
      <c r="H11" s="16">
        <f>SUMIFS(明细数据!$L:$L,明细数据!$C:$C,"交易概况",明细数据!$J:$J,"成交金额",明细数据!$K:$K,"本期值",明细数据!$E:$E,"&gt;="&amp;$O11,明细数据!$E:$E,"&lt;="&amp;$P11)</f>
        <v>0</v>
      </c>
      <c r="I11" s="22" t="e">
        <f>IFERROR(($G11-$K11)/$K11,NA())</f>
        <v>#N/A</v>
      </c>
      <c r="J11" s="22" t="e">
        <f>IFERROR(($G11-$H11)/$H11,NA())</f>
        <v>#N/A</v>
      </c>
      <c r="K11" s="16">
        <f>SUMIFS(明细数据!$L:$L,明细数据!$C:$C,"交易概况",明细数据!$J:$J,"成交金额",明细数据!$K:$K,"本期值",明细数据!$E:$E,"&gt;="&amp;$Q11,明细数据!$E:$E,"&lt;="&amp;$R11)</f>
        <v>0</v>
      </c>
      <c r="M11" s="5">
        <v>46289</v>
      </c>
      <c r="N11" s="5">
        <v>46289</v>
      </c>
      <c r="O11" s="5">
        <v>46288</v>
      </c>
      <c r="P11" s="5">
        <v>46288</v>
      </c>
      <c r="Q11" s="5">
        <v>45924</v>
      </c>
      <c r="R11" s="5">
        <v>45924</v>
      </c>
      <c r="T11" t="s">
        <v>377</v>
      </c>
      <c r="U11" s="21" t="e">
        <f>目标预算!$H$6</f>
        <v>#N/A</v>
      </c>
      <c r="V11" s="21" t="e">
        <f>IFERROR(目标预算!$B$13/目标预算!$B$12,NA())</f>
        <v>#N/A</v>
      </c>
      <c r="W11" s="22" t="e">
        <f>IFERROR(目标预算!$B$12/目标预算!$B$14,NA())</f>
        <v>#N/A</v>
      </c>
    </row>
    <row r="12" spans="1:24">
      <c r="B12" s="16">
        <f>SUMIFS(明细数据!$L:$L,明细数据!$C:$C,"流量来源_流量结构分析_场域来源",明细数据!$J:$J,"引入成交金额",明细数据!$K:$K,"本期值",明细数据!$F:$F,$A12)</f>
        <v>0</v>
      </c>
      <c r="C12" s="22" t="e">
        <f>IFERROR($B12/SUM($B$4:$B$13),NA())</f>
        <v>#N/A</v>
      </c>
      <c r="D12" t="str">
        <f>IF($B12&lt;=0,"-",RANK($B12,$B$4:$B$13))</f>
        <v>-</v>
      </c>
      <c r="F12" s="2">
        <v>46290</v>
      </c>
      <c r="G12" s="16">
        <f>SUMIFS(明细数据!$L:$L,明细数据!$C:$C,"交易概况",明细数据!$J:$J,"成交金额",明细数据!$K:$K,"本期值",明细数据!$E:$E,"&gt;="&amp;$M12,明细数据!$E:$E,"&lt;="&amp;$N12)</f>
        <v>0</v>
      </c>
      <c r="H12" s="16">
        <f>SUMIFS(明细数据!$L:$L,明细数据!$C:$C,"交易概况",明细数据!$J:$J,"成交金额",明细数据!$K:$K,"本期值",明细数据!$E:$E,"&gt;="&amp;$O12,明细数据!$E:$E,"&lt;="&amp;$P12)</f>
        <v>0</v>
      </c>
      <c r="I12" s="22" t="e">
        <f>IFERROR(($G12-$K12)/$K12,NA())</f>
        <v>#N/A</v>
      </c>
      <c r="J12" s="22" t="e">
        <f>IFERROR(($G12-$H12)/$H12,NA())</f>
        <v>#N/A</v>
      </c>
      <c r="K12" s="16">
        <f>SUMIFS(明细数据!$L:$L,明细数据!$C:$C,"交易概况",明细数据!$J:$J,"成交金额",明细数据!$K:$K,"本期值",明细数据!$E:$E,"&gt;="&amp;$Q12,明细数据!$E:$E,"&lt;="&amp;$R12)</f>
        <v>0</v>
      </c>
      <c r="M12" s="5">
        <v>46290</v>
      </c>
      <c r="N12" s="5">
        <v>46290</v>
      </c>
      <c r="O12" s="5">
        <v>46289</v>
      </c>
      <c r="P12" s="5">
        <v>46289</v>
      </c>
      <c r="Q12" s="5">
        <v>45925</v>
      </c>
      <c r="R12" s="5">
        <v>45925</v>
      </c>
      <c r="T12" t="s">
        <v>354</v>
      </c>
      <c r="U12" s="22" t="e">
        <f>IFERROR($V$11/$U$11,NA())</f>
        <v>#N/A</v>
      </c>
      <c r="V12" t="s">
        <v>358</v>
      </c>
      <c r="W12" s="22" t="e">
        <f>目标预算!$H$7</f>
        <v>#N/A</v>
      </c>
    </row>
    <row r="13" spans="1:24">
      <c r="B13" s="16">
        <f>SUMIFS(明细数据!$L:$L,明细数据!$C:$C,"流量来源_流量结构分析_场域来源",明细数据!$J:$J,"引入成交金额",明细数据!$K:$K,"本期值",明细数据!$F:$F,$A13)</f>
        <v>0</v>
      </c>
      <c r="C13" s="22" t="e">
        <f>IFERROR($B13/SUM($B$4:$B$13),NA())</f>
        <v>#N/A</v>
      </c>
      <c r="D13" t="str">
        <f>IF($B13&lt;=0,"-",RANK($B13,$B$4:$B$13))</f>
        <v>-</v>
      </c>
      <c r="F13" s="2">
        <v>46291</v>
      </c>
      <c r="G13" s="16">
        <f>SUMIFS(明细数据!$L:$L,明细数据!$C:$C,"交易概况",明细数据!$J:$J,"成交金额",明细数据!$K:$K,"本期值",明细数据!$E:$E,"&gt;="&amp;$M13,明细数据!$E:$E,"&lt;="&amp;$N13)</f>
        <v>0</v>
      </c>
      <c r="H13" s="16">
        <f>SUMIFS(明细数据!$L:$L,明细数据!$C:$C,"交易概况",明细数据!$J:$J,"成交金额",明细数据!$K:$K,"本期值",明细数据!$E:$E,"&gt;="&amp;$O13,明细数据!$E:$E,"&lt;="&amp;$P13)</f>
        <v>0</v>
      </c>
      <c r="I13" s="22" t="e">
        <f>IFERROR(($G13-$K13)/$K13,NA())</f>
        <v>#N/A</v>
      </c>
      <c r="J13" s="22" t="e">
        <f>IFERROR(($G13-$H13)/$H13,NA())</f>
        <v>#N/A</v>
      </c>
      <c r="K13" s="16">
        <f>SUMIFS(明细数据!$L:$L,明细数据!$C:$C,"交易概况",明细数据!$J:$J,"成交金额",明细数据!$K:$K,"本期值",明细数据!$E:$E,"&gt;="&amp;$Q13,明细数据!$E:$E,"&lt;="&amp;$R13)</f>
        <v>0</v>
      </c>
      <c r="M13" s="5">
        <v>46291</v>
      </c>
      <c r="N13" s="5">
        <v>46291</v>
      </c>
      <c r="O13" s="5">
        <v>46290</v>
      </c>
      <c r="P13" s="5">
        <v>46290</v>
      </c>
      <c r="Q13" s="5">
        <v>45926</v>
      </c>
      <c r="R13" s="5">
        <v>45926</v>
      </c>
    </row>
    <row r="14" spans="1:24">
      <c r="A14" s="3" t="s">
        <v>381</v>
      </c>
      <c r="B14" s="16">
        <f>SUM($B$4:$B$13)</f>
        <v>0</v>
      </c>
      <c r="F14" s="2">
        <v>46292</v>
      </c>
      <c r="G14" s="16">
        <f>SUMIFS(明细数据!$L:$L,明细数据!$C:$C,"交易概况",明细数据!$J:$J,"成交金额",明细数据!$K:$K,"本期值",明细数据!$E:$E,"&gt;="&amp;$M14,明细数据!$E:$E,"&lt;="&amp;$N14)</f>
        <v>0</v>
      </c>
      <c r="H14" s="16">
        <f>SUMIFS(明细数据!$L:$L,明细数据!$C:$C,"交易概况",明细数据!$J:$J,"成交金额",明细数据!$K:$K,"本期值",明细数据!$E:$E,"&gt;="&amp;$O14,明细数据!$E:$E,"&lt;="&amp;$P14)</f>
        <v>0</v>
      </c>
      <c r="I14" s="22" t="e">
        <f>IFERROR(($G14-$K14)/$K14,NA())</f>
        <v>#N/A</v>
      </c>
      <c r="J14" s="22" t="e">
        <f>IFERROR(($G14-$H14)/$H14,NA())</f>
        <v>#N/A</v>
      </c>
      <c r="K14" s="16">
        <f>SUMIFS(明细数据!$L:$L,明细数据!$C:$C,"交易概况",明细数据!$J:$J,"成交金额",明细数据!$K:$K,"本期值",明细数据!$E:$E,"&gt;="&amp;$Q14,明细数据!$E:$E,"&lt;="&amp;$R14)</f>
        <v>0</v>
      </c>
      <c r="M14" s="5">
        <v>46292</v>
      </c>
      <c r="N14" s="5">
        <v>46292</v>
      </c>
      <c r="O14" s="5">
        <v>46291</v>
      </c>
      <c r="P14" s="5">
        <v>46291</v>
      </c>
      <c r="Q14" s="5">
        <v>45927</v>
      </c>
      <c r="R14" s="5">
        <v>45927</v>
      </c>
    </row>
    <row r="15" spans="1:24">
      <c r="F15" s="2">
        <v>46293</v>
      </c>
      <c r="G15" s="16">
        <f>SUMIFS(明细数据!$L:$L,明细数据!$C:$C,"交易概况",明细数据!$J:$J,"成交金额",明细数据!$K:$K,"本期值",明细数据!$E:$E,"&gt;="&amp;$M15,明细数据!$E:$E,"&lt;="&amp;$N15)</f>
        <v>0</v>
      </c>
      <c r="H15" s="16">
        <f>SUMIFS(明细数据!$L:$L,明细数据!$C:$C,"交易概况",明细数据!$J:$J,"成交金额",明细数据!$K:$K,"本期值",明细数据!$E:$E,"&gt;="&amp;$O15,明细数据!$E:$E,"&lt;="&amp;$P15)</f>
        <v>0</v>
      </c>
      <c r="I15" s="22" t="e">
        <f>IFERROR(($G15-$K15)/$K15,NA())</f>
        <v>#N/A</v>
      </c>
      <c r="J15" s="22" t="e">
        <f>IFERROR(($G15-$H15)/$H15,NA())</f>
        <v>#N/A</v>
      </c>
      <c r="K15" s="16">
        <f>SUMIFS(明细数据!$L:$L,明细数据!$C:$C,"交易概况",明细数据!$J:$J,"成交金额",明细数据!$K:$K,"本期值",明细数据!$E:$E,"&gt;="&amp;$Q15,明细数据!$E:$E,"&lt;="&amp;$R15)</f>
        <v>0</v>
      </c>
      <c r="M15" s="5">
        <v>46293</v>
      </c>
      <c r="N15" s="5">
        <v>46293</v>
      </c>
      <c r="O15" s="5">
        <v>46292</v>
      </c>
      <c r="P15" s="5">
        <v>46292</v>
      </c>
      <c r="Q15" s="5">
        <v>45928</v>
      </c>
      <c r="R15" s="5">
        <v>45928</v>
      </c>
      <c r="T15" s="3" t="s">
        <v>382</v>
      </c>
    </row>
    <row r="16" spans="1:24">
      <c r="F16" s="2">
        <v>46294</v>
      </c>
      <c r="G16" s="16">
        <f>SUMIFS(明细数据!$L:$L,明细数据!$C:$C,"交易概况",明细数据!$J:$J,"成交金额",明细数据!$K:$K,"本期值",明细数据!$E:$E,"&gt;="&amp;$M16,明细数据!$E:$E,"&lt;="&amp;$N16)</f>
        <v>0</v>
      </c>
      <c r="H16" s="16">
        <f>SUMIFS(明细数据!$L:$L,明细数据!$C:$C,"交易概况",明细数据!$J:$J,"成交金额",明细数据!$K:$K,"本期值",明细数据!$E:$E,"&gt;="&amp;$O16,明细数据!$E:$E,"&lt;="&amp;$P16)</f>
        <v>0</v>
      </c>
      <c r="I16" s="22" t="e">
        <f>IFERROR(($G16-$K16)/$K16,NA())</f>
        <v>#N/A</v>
      </c>
      <c r="J16" s="22" t="e">
        <f>IFERROR(($G16-$H16)/$H16,NA())</f>
        <v>#N/A</v>
      </c>
      <c r="K16" s="16">
        <f>SUMIFS(明细数据!$L:$L,明细数据!$C:$C,"交易概况",明细数据!$J:$J,"成交金额",明细数据!$K:$K,"本期值",明细数据!$E:$E,"&gt;="&amp;$Q16,明细数据!$E:$E,"&lt;="&amp;$R16)</f>
        <v>0</v>
      </c>
      <c r="M16" s="5">
        <v>46294</v>
      </c>
      <c r="N16" s="5">
        <v>46294</v>
      </c>
      <c r="O16" s="5">
        <v>46293</v>
      </c>
      <c r="P16" s="5">
        <v>46293</v>
      </c>
      <c r="Q16" s="5">
        <v>45929</v>
      </c>
      <c r="R16" s="5">
        <v>45929</v>
      </c>
      <c r="T16" s="15" t="s">
        <v>231</v>
      </c>
      <c r="U16" s="15" t="s">
        <v>328</v>
      </c>
      <c r="V16" s="15" t="s">
        <v>329</v>
      </c>
      <c r="W16" s="15" t="s">
        <v>330</v>
      </c>
      <c r="X16" s="15" t="s">
        <v>364</v>
      </c>
    </row>
    <row r="17" spans="6:24">
      <c r="F17" s="2">
        <v>46295</v>
      </c>
      <c r="G17" s="16">
        <f>SUMIFS(明细数据!$L:$L,明细数据!$C:$C,"交易概况",明细数据!$J:$J,"成交金额",明细数据!$K:$K,"本期值",明细数据!$E:$E,"&gt;="&amp;$M17,明细数据!$E:$E,"&lt;="&amp;$N17)</f>
        <v>0</v>
      </c>
      <c r="H17" s="16">
        <f>SUMIFS(明细数据!$L:$L,明细数据!$C:$C,"交易概况",明细数据!$J:$J,"成交金额",明细数据!$K:$K,"本期值",明细数据!$E:$E,"&gt;="&amp;$O17,明细数据!$E:$E,"&lt;="&amp;$P17)</f>
        <v>0</v>
      </c>
      <c r="I17" s="22" t="e">
        <f>IFERROR(($G17-$K17)/$K17,NA())</f>
        <v>#N/A</v>
      </c>
      <c r="J17" s="22" t="e">
        <f>IFERROR(($G17-$H17)/$H17,NA())</f>
        <v>#N/A</v>
      </c>
      <c r="K17" s="16">
        <f>SUMIFS(明细数据!$L:$L,明细数据!$C:$C,"交易概况",明细数据!$J:$J,"成交金额",明细数据!$K:$K,"本期值",明细数据!$E:$E,"&gt;="&amp;$Q17,明细数据!$E:$E,"&lt;="&amp;$R17)</f>
        <v>0</v>
      </c>
      <c r="M17" s="5">
        <v>46295</v>
      </c>
      <c r="N17" s="5">
        <v>46295</v>
      </c>
      <c r="O17" s="5">
        <v>46294</v>
      </c>
      <c r="P17" s="5">
        <v>46294</v>
      </c>
      <c r="Q17" s="5">
        <v>45930</v>
      </c>
      <c r="R17" s="5">
        <v>45930</v>
      </c>
      <c r="U17" s="16">
        <f>SUMIFS(明细数据!$L:$L,明细数据!$C:$C,"",明细数据!$K:$K,"本期值",明细数据!$H:$H,$T17,明细数据!$J:$J,"成交金额")</f>
        <v>0</v>
      </c>
      <c r="V17" s="16">
        <f>SUMIFS(明细数据!$L:$L,明细数据!$C:$C,"",明细数据!$K:$K,"本期值",明细数据!$H:$H,$T17,明细数据!$J:$J,"成交商品件数")</f>
        <v>0</v>
      </c>
      <c r="W17" s="16">
        <f>SUMIFS(明细数据!$L:$L,明细数据!$C:$C,"",明细数据!$K:$K,"本期值",明细数据!$H:$H,$T17,明细数据!$J:$J,"成交客户数")</f>
        <v>0</v>
      </c>
      <c r="X17" s="22" t="e">
        <f>IFERROR($U17/SUM($U$17:$U$28),NA())</f>
        <v>#N/A</v>
      </c>
    </row>
    <row r="18" spans="6:24">
      <c r="U18" s="16">
        <f>SUMIFS(明细数据!$L:$L,明细数据!$C:$C,"",明细数据!$K:$K,"本期值",明细数据!$H:$H,$T18,明细数据!$J:$J,"成交金额")</f>
        <v>0</v>
      </c>
      <c r="V18" s="16">
        <f>SUMIFS(明细数据!$L:$L,明细数据!$C:$C,"",明细数据!$K:$K,"本期值",明细数据!$H:$H,$T18,明细数据!$J:$J,"成交商品件数")</f>
        <v>0</v>
      </c>
      <c r="W18" s="16">
        <f>SUMIFS(明细数据!$L:$L,明细数据!$C:$C,"",明细数据!$K:$K,"本期值",明细数据!$H:$H,$T18,明细数据!$J:$J,"成交客户数")</f>
        <v>0</v>
      </c>
      <c r="X18" s="22" t="e">
        <f>IFERROR($U18/SUM($U$17:$U$28),NA())</f>
        <v>#N/A</v>
      </c>
    </row>
    <row r="19" spans="6:24">
      <c r="U19" s="16">
        <f>SUMIFS(明细数据!$L:$L,明细数据!$C:$C,"",明细数据!$K:$K,"本期值",明细数据!$H:$H,$T19,明细数据!$J:$J,"成交金额")</f>
        <v>0</v>
      </c>
      <c r="V19" s="16">
        <f>SUMIFS(明细数据!$L:$L,明细数据!$C:$C,"",明细数据!$K:$K,"本期值",明细数据!$H:$H,$T19,明细数据!$J:$J,"成交商品件数")</f>
        <v>0</v>
      </c>
      <c r="W19" s="16">
        <f>SUMIFS(明细数据!$L:$L,明细数据!$C:$C,"",明细数据!$K:$K,"本期值",明细数据!$H:$H,$T19,明细数据!$J:$J,"成交客户数")</f>
        <v>0</v>
      </c>
      <c r="X19" s="22" t="e">
        <f>IFERROR($U19/SUM($U$17:$U$28),NA())</f>
        <v>#N/A</v>
      </c>
    </row>
    <row r="20" spans="6:24">
      <c r="F20" s="15" t="s">
        <v>383</v>
      </c>
      <c r="G20" s="15" t="s">
        <v>367</v>
      </c>
      <c r="H20" s="15" t="s">
        <v>368</v>
      </c>
      <c r="I20" s="15" t="s">
        <v>369</v>
      </c>
      <c r="J20" s="15" t="s">
        <v>370</v>
      </c>
      <c r="K20" s="15" t="s">
        <v>371</v>
      </c>
      <c r="U20" s="16">
        <f>SUMIFS(明细数据!$L:$L,明细数据!$C:$C,"",明细数据!$K:$K,"本期值",明细数据!$H:$H,$T20,明细数据!$J:$J,"成交金额")</f>
        <v>0</v>
      </c>
      <c r="V20" s="16">
        <f>SUMIFS(明细数据!$L:$L,明细数据!$C:$C,"",明细数据!$K:$K,"本期值",明细数据!$H:$H,$T20,明细数据!$J:$J,"成交商品件数")</f>
        <v>0</v>
      </c>
      <c r="W20" s="16">
        <f>SUMIFS(明细数据!$L:$L,明细数据!$C:$C,"",明细数据!$K:$K,"本期值",明细数据!$H:$H,$T20,明细数据!$J:$J,"成交客户数")</f>
        <v>0</v>
      </c>
      <c r="X20" s="22" t="e">
        <f>IFERROR($U20/SUM($U$17:$U$28),NA())</f>
        <v>#N/A</v>
      </c>
    </row>
    <row r="21" spans="6:24">
      <c r="U21" s="16">
        <f>SUMIFS(明细数据!$L:$L,明细数据!$C:$C,"",明细数据!$K:$K,"本期值",明细数据!$H:$H,$T21,明细数据!$J:$J,"成交金额")</f>
        <v>0</v>
      </c>
      <c r="V21" s="16">
        <f>SUMIFS(明细数据!$L:$L,明细数据!$C:$C,"",明细数据!$K:$K,"本期值",明细数据!$H:$H,$T21,明细数据!$J:$J,"成交商品件数")</f>
        <v>0</v>
      </c>
      <c r="W21" s="16">
        <f>SUMIFS(明细数据!$L:$L,明细数据!$C:$C,"",明细数据!$K:$K,"本期值",明细数据!$H:$H,$T21,明细数据!$J:$J,"成交客户数")</f>
        <v>0</v>
      </c>
      <c r="X21" s="22" t="e">
        <f>IFERROR($U21/SUM($U$17:$U$28),NA())</f>
        <v>#N/A</v>
      </c>
    </row>
    <row r="22" spans="6:24">
      <c r="U22" s="16">
        <f>SUMIFS(明细数据!$L:$L,明细数据!$C:$C,"",明细数据!$K:$K,"本期值",明细数据!$H:$H,$T22,明细数据!$J:$J,"成交金额")</f>
        <v>0</v>
      </c>
      <c r="V22" s="16">
        <f>SUMIFS(明细数据!$L:$L,明细数据!$C:$C,"",明细数据!$K:$K,"本期值",明细数据!$H:$H,$T22,明细数据!$J:$J,"成交商品件数")</f>
        <v>0</v>
      </c>
      <c r="W22" s="16">
        <f>SUMIFS(明细数据!$L:$L,明细数据!$C:$C,"",明细数据!$K:$K,"本期值",明细数据!$H:$H,$T22,明细数据!$J:$J,"成交客户数")</f>
        <v>0</v>
      </c>
      <c r="X22" s="22" t="e">
        <f>IFERROR($U22/SUM($U$17:$U$28),NA())</f>
        <v>#N/A</v>
      </c>
    </row>
    <row r="23" spans="6:24">
      <c r="F23" s="15" t="s">
        <v>384</v>
      </c>
      <c r="G23" s="15" t="s">
        <v>367</v>
      </c>
      <c r="H23" s="15" t="s">
        <v>368</v>
      </c>
      <c r="I23" s="15" t="s">
        <v>369</v>
      </c>
      <c r="J23" s="15" t="s">
        <v>370</v>
      </c>
      <c r="K23" s="15" t="s">
        <v>371</v>
      </c>
      <c r="U23" s="16">
        <f>SUMIFS(明细数据!$L:$L,明细数据!$C:$C,"",明细数据!$K:$K,"本期值",明细数据!$H:$H,$T23,明细数据!$J:$J,"成交金额")</f>
        <v>0</v>
      </c>
      <c r="V23" s="16">
        <f>SUMIFS(明细数据!$L:$L,明细数据!$C:$C,"",明细数据!$K:$K,"本期值",明细数据!$H:$H,$T23,明细数据!$J:$J,"成交商品件数")</f>
        <v>0</v>
      </c>
      <c r="W23" s="16">
        <f>SUMIFS(明细数据!$L:$L,明细数据!$C:$C,"",明细数据!$K:$K,"本期值",明细数据!$H:$H,$T23,明细数据!$J:$J,"成交客户数")</f>
        <v>0</v>
      </c>
      <c r="X23" s="22" t="e">
        <f>IFERROR($U23/SUM($U$17:$U$28),NA())</f>
        <v>#N/A</v>
      </c>
    </row>
    <row r="24" spans="6:24">
      <c r="F24" s="31">
        <v>45931</v>
      </c>
      <c r="G24" s="16">
        <f>SUMIFS(明细数据!$L:$L,明细数据!$C:$C,"交易概况",明细数据!$J:$J,"成交金额",明细数据!$K:$K,"本期值",明细数据!$E:$E,"&gt;="&amp;$M24,明细数据!$E:$E,"&lt;="&amp;$N24)</f>
        <v>0</v>
      </c>
      <c r="H24" s="16">
        <f>SUMIFS(明细数据!$L:$L,明细数据!$C:$C,"交易概况",明细数据!$J:$J,"成交金额",明细数据!$K:$K,"本期值",明细数据!$E:$E,"&gt;="&amp;$O24,明细数据!$E:$E,"&lt;="&amp;$P24)</f>
        <v>0</v>
      </c>
      <c r="I24" s="22" t="e">
        <f>IFERROR(($G24-$K24)/$K24,NA())</f>
        <v>#N/A</v>
      </c>
      <c r="J24" s="22" t="e">
        <f>IFERROR(($G24-$H24)/$H24,NA())</f>
        <v>#N/A</v>
      </c>
      <c r="K24" s="16">
        <f>SUMIFS(明细数据!$L:$L,明细数据!$C:$C,"交易概况",明细数据!$J:$J,"成交金额",明细数据!$K:$K,"本期值",明细数据!$E:$E,"&gt;="&amp;$Q24,明细数据!$E:$E,"&lt;="&amp;$R24)</f>
        <v>0</v>
      </c>
      <c r="M24" s="5">
        <v>45931</v>
      </c>
      <c r="N24" s="5">
        <v>45961</v>
      </c>
      <c r="O24" s="5">
        <v>45901</v>
      </c>
      <c r="P24" s="5">
        <v>45930</v>
      </c>
      <c r="Q24" s="5">
        <v>45566</v>
      </c>
      <c r="R24" s="5">
        <v>45596</v>
      </c>
      <c r="U24" s="16">
        <f>SUMIFS(明细数据!$L:$L,明细数据!$C:$C,"",明细数据!$K:$K,"本期值",明细数据!$H:$H,$T24,明细数据!$J:$J,"成交金额")</f>
        <v>0</v>
      </c>
      <c r="V24" s="16">
        <f>SUMIFS(明细数据!$L:$L,明细数据!$C:$C,"",明细数据!$K:$K,"本期值",明细数据!$H:$H,$T24,明细数据!$J:$J,"成交商品件数")</f>
        <v>0</v>
      </c>
      <c r="W24" s="16">
        <f>SUMIFS(明细数据!$L:$L,明细数据!$C:$C,"",明细数据!$K:$K,"本期值",明细数据!$H:$H,$T24,明细数据!$J:$J,"成交客户数")</f>
        <v>0</v>
      </c>
      <c r="X24" s="22" t="e">
        <f>IFERROR($U24/SUM($U$17:$U$28),NA())</f>
        <v>#N/A</v>
      </c>
    </row>
    <row r="25" spans="6:24">
      <c r="F25" s="31">
        <v>45962</v>
      </c>
      <c r="G25" s="16">
        <f>SUMIFS(明细数据!$L:$L,明细数据!$C:$C,"交易概况",明细数据!$J:$J,"成交金额",明细数据!$K:$K,"本期值",明细数据!$E:$E,"&gt;="&amp;$M25,明细数据!$E:$E,"&lt;="&amp;$N25)</f>
        <v>0</v>
      </c>
      <c r="H25" s="16">
        <f>SUMIFS(明细数据!$L:$L,明细数据!$C:$C,"交易概况",明细数据!$J:$J,"成交金额",明细数据!$K:$K,"本期值",明细数据!$E:$E,"&gt;="&amp;$O25,明细数据!$E:$E,"&lt;="&amp;$P25)</f>
        <v>0</v>
      </c>
      <c r="I25" s="22" t="e">
        <f>IFERROR(($G25-$K25)/$K25,NA())</f>
        <v>#N/A</v>
      </c>
      <c r="J25" s="22" t="e">
        <f>IFERROR(($G25-$H25)/$H25,NA())</f>
        <v>#N/A</v>
      </c>
      <c r="K25" s="16">
        <f>SUMIFS(明细数据!$L:$L,明细数据!$C:$C,"交易概况",明细数据!$J:$J,"成交金额",明细数据!$K:$K,"本期值",明细数据!$E:$E,"&gt;="&amp;$Q25,明细数据!$E:$E,"&lt;="&amp;$R25)</f>
        <v>0</v>
      </c>
      <c r="M25" s="5">
        <v>45962</v>
      </c>
      <c r="N25" s="5">
        <v>45991</v>
      </c>
      <c r="O25" s="5">
        <v>45931</v>
      </c>
      <c r="P25" s="5">
        <v>45961</v>
      </c>
      <c r="Q25" s="5">
        <v>45597</v>
      </c>
      <c r="R25" s="5">
        <v>45626</v>
      </c>
      <c r="U25" s="16">
        <f>SUMIFS(明细数据!$L:$L,明细数据!$C:$C,"",明细数据!$K:$K,"本期值",明细数据!$H:$H,$T25,明细数据!$J:$J,"成交金额")</f>
        <v>0</v>
      </c>
      <c r="V25" s="16">
        <f>SUMIFS(明细数据!$L:$L,明细数据!$C:$C,"",明细数据!$K:$K,"本期值",明细数据!$H:$H,$T25,明细数据!$J:$J,"成交商品件数")</f>
        <v>0</v>
      </c>
      <c r="W25" s="16">
        <f>SUMIFS(明细数据!$L:$L,明细数据!$C:$C,"",明细数据!$K:$K,"本期值",明细数据!$H:$H,$T25,明细数据!$J:$J,"成交客户数")</f>
        <v>0</v>
      </c>
      <c r="X25" s="22" t="e">
        <f>IFERROR($U25/SUM($U$17:$U$28),NA())</f>
        <v>#N/A</v>
      </c>
    </row>
    <row r="26" spans="6:24">
      <c r="F26" s="31">
        <v>45992</v>
      </c>
      <c r="G26" s="16">
        <f>SUMIFS(明细数据!$L:$L,明细数据!$C:$C,"交易概况",明细数据!$J:$J,"成交金额",明细数据!$K:$K,"本期值",明细数据!$E:$E,"&gt;="&amp;$M26,明细数据!$E:$E,"&lt;="&amp;$N26)</f>
        <v>0</v>
      </c>
      <c r="H26" s="16">
        <f>SUMIFS(明细数据!$L:$L,明细数据!$C:$C,"交易概况",明细数据!$J:$J,"成交金额",明细数据!$K:$K,"本期值",明细数据!$E:$E,"&gt;="&amp;$O26,明细数据!$E:$E,"&lt;="&amp;$P26)</f>
        <v>0</v>
      </c>
      <c r="I26" s="22" t="e">
        <f>IFERROR(($G26-$K26)/$K26,NA())</f>
        <v>#N/A</v>
      </c>
      <c r="J26" s="22" t="e">
        <f>IFERROR(($G26-$H26)/$H26,NA())</f>
        <v>#N/A</v>
      </c>
      <c r="K26" s="16">
        <f>SUMIFS(明细数据!$L:$L,明细数据!$C:$C,"交易概况",明细数据!$J:$J,"成交金额",明细数据!$K:$K,"本期值",明细数据!$E:$E,"&gt;="&amp;$Q26,明细数据!$E:$E,"&lt;="&amp;$R26)</f>
        <v>0</v>
      </c>
      <c r="M26" s="5">
        <v>45992</v>
      </c>
      <c r="N26" s="5">
        <v>46022</v>
      </c>
      <c r="O26" s="5">
        <v>45962</v>
      </c>
      <c r="P26" s="5">
        <v>45991</v>
      </c>
      <c r="Q26" s="5">
        <v>45627</v>
      </c>
      <c r="R26" s="5">
        <v>45657</v>
      </c>
      <c r="U26" s="16">
        <f>SUMIFS(明细数据!$L:$L,明细数据!$C:$C,"",明细数据!$K:$K,"本期值",明细数据!$H:$H,$T26,明细数据!$J:$J,"成交金额")</f>
        <v>0</v>
      </c>
      <c r="V26" s="16">
        <f>SUMIFS(明细数据!$L:$L,明细数据!$C:$C,"",明细数据!$K:$K,"本期值",明细数据!$H:$H,$T26,明细数据!$J:$J,"成交商品件数")</f>
        <v>0</v>
      </c>
      <c r="W26" s="16">
        <f>SUMIFS(明细数据!$L:$L,明细数据!$C:$C,"",明细数据!$K:$K,"本期值",明细数据!$H:$H,$T26,明细数据!$J:$J,"成交客户数")</f>
        <v>0</v>
      </c>
      <c r="X26" s="22" t="e">
        <f>IFERROR($U26/SUM($U$17:$U$28),NA())</f>
        <v>#N/A</v>
      </c>
    </row>
    <row r="27" spans="6:24">
      <c r="F27" s="31">
        <v>46023</v>
      </c>
      <c r="G27" s="16">
        <f>SUMIFS(明细数据!$L:$L,明细数据!$C:$C,"交易概况",明细数据!$J:$J,"成交金额",明细数据!$K:$K,"本期值",明细数据!$E:$E,"&gt;="&amp;$M27,明细数据!$E:$E,"&lt;="&amp;$N27)</f>
        <v>0</v>
      </c>
      <c r="H27" s="16">
        <f>SUMIFS(明细数据!$L:$L,明细数据!$C:$C,"交易概况",明细数据!$J:$J,"成交金额",明细数据!$K:$K,"本期值",明细数据!$E:$E,"&gt;="&amp;$O27,明细数据!$E:$E,"&lt;="&amp;$P27)</f>
        <v>0</v>
      </c>
      <c r="I27" s="22" t="e">
        <f>IFERROR(($G27-$K27)/$K27,NA())</f>
        <v>#N/A</v>
      </c>
      <c r="J27" s="22" t="e">
        <f>IFERROR(($G27-$H27)/$H27,NA())</f>
        <v>#N/A</v>
      </c>
      <c r="K27" s="16">
        <f>SUMIFS(明细数据!$L:$L,明细数据!$C:$C,"交易概况",明细数据!$J:$J,"成交金额",明细数据!$K:$K,"本期值",明细数据!$E:$E,"&gt;="&amp;$Q27,明细数据!$E:$E,"&lt;="&amp;$R27)</f>
        <v>0</v>
      </c>
      <c r="M27" s="5">
        <v>46023</v>
      </c>
      <c r="N27" s="5">
        <v>46053</v>
      </c>
      <c r="O27" s="5">
        <v>45992</v>
      </c>
      <c r="P27" s="5">
        <v>46022</v>
      </c>
      <c r="Q27" s="5">
        <v>45658</v>
      </c>
      <c r="R27" s="5">
        <v>45688</v>
      </c>
      <c r="U27" s="16">
        <f>SUMIFS(明细数据!$L:$L,明细数据!$C:$C,"",明细数据!$K:$K,"本期值",明细数据!$H:$H,$T27,明细数据!$J:$J,"成交金额")</f>
        <v>0</v>
      </c>
      <c r="V27" s="16">
        <f>SUMIFS(明细数据!$L:$L,明细数据!$C:$C,"",明细数据!$K:$K,"本期值",明细数据!$H:$H,$T27,明细数据!$J:$J,"成交商品件数")</f>
        <v>0</v>
      </c>
      <c r="W27" s="16">
        <f>SUMIFS(明细数据!$L:$L,明细数据!$C:$C,"",明细数据!$K:$K,"本期值",明细数据!$H:$H,$T27,明细数据!$J:$J,"成交客户数")</f>
        <v>0</v>
      </c>
      <c r="X27" s="22" t="e">
        <f>IFERROR($U27/SUM($U$17:$U$28),NA())</f>
        <v>#N/A</v>
      </c>
    </row>
    <row r="28" spans="6:24">
      <c r="F28" s="31">
        <v>46054</v>
      </c>
      <c r="G28" s="16">
        <f>SUMIFS(明细数据!$L:$L,明细数据!$C:$C,"交易概况",明细数据!$J:$J,"成交金额",明细数据!$K:$K,"本期值",明细数据!$E:$E,"&gt;="&amp;$M28,明细数据!$E:$E,"&lt;="&amp;$N28)</f>
        <v>0</v>
      </c>
      <c r="H28" s="16">
        <f>SUMIFS(明细数据!$L:$L,明细数据!$C:$C,"交易概况",明细数据!$J:$J,"成交金额",明细数据!$K:$K,"本期值",明细数据!$E:$E,"&gt;="&amp;$O28,明细数据!$E:$E,"&lt;="&amp;$P28)</f>
        <v>0</v>
      </c>
      <c r="I28" s="22" t="e">
        <f>IFERROR(($G28-$K28)/$K28,NA())</f>
        <v>#N/A</v>
      </c>
      <c r="J28" s="22" t="e">
        <f>IFERROR(($G28-$H28)/$H28,NA())</f>
        <v>#N/A</v>
      </c>
      <c r="K28" s="16">
        <f>SUMIFS(明细数据!$L:$L,明细数据!$C:$C,"交易概况",明细数据!$J:$J,"成交金额",明细数据!$K:$K,"本期值",明细数据!$E:$E,"&gt;="&amp;$Q28,明细数据!$E:$E,"&lt;="&amp;$R28)</f>
        <v>0</v>
      </c>
      <c r="M28" s="5">
        <v>46054</v>
      </c>
      <c r="N28" s="5">
        <v>46081</v>
      </c>
      <c r="O28" s="5">
        <v>46023</v>
      </c>
      <c r="P28" s="5">
        <v>46053</v>
      </c>
      <c r="Q28" s="5">
        <v>45689</v>
      </c>
      <c r="R28" s="5">
        <v>45716</v>
      </c>
      <c r="U28" s="16">
        <f>SUMIFS(明细数据!$L:$L,明细数据!$C:$C,"",明细数据!$K:$K,"本期值",明细数据!$H:$H,$T28,明细数据!$J:$J,"成交金额")</f>
        <v>0</v>
      </c>
      <c r="V28" s="16">
        <f>SUMIFS(明细数据!$L:$L,明细数据!$C:$C,"",明细数据!$K:$K,"本期值",明细数据!$H:$H,$T28,明细数据!$J:$J,"成交商品件数")</f>
        <v>0</v>
      </c>
      <c r="W28" s="16">
        <f>SUMIFS(明细数据!$L:$L,明细数据!$C:$C,"",明细数据!$K:$K,"本期值",明细数据!$H:$H,$T28,明细数据!$J:$J,"成交客户数")</f>
        <v>0</v>
      </c>
      <c r="X28" s="22" t="e">
        <f>IFERROR($U28/SUM($U$17:$U$28),NA())</f>
        <v>#N/A</v>
      </c>
    </row>
    <row r="29" spans="6:24">
      <c r="F29" s="31">
        <v>46082</v>
      </c>
      <c r="G29" s="16">
        <f>SUMIFS(明细数据!$L:$L,明细数据!$C:$C,"交易概况",明细数据!$J:$J,"成交金额",明细数据!$K:$K,"本期值",明细数据!$E:$E,"&gt;="&amp;$M29,明细数据!$E:$E,"&lt;="&amp;$N29)</f>
        <v>0</v>
      </c>
      <c r="H29" s="16">
        <f>SUMIFS(明细数据!$L:$L,明细数据!$C:$C,"交易概况",明细数据!$J:$J,"成交金额",明细数据!$K:$K,"本期值",明细数据!$E:$E,"&gt;="&amp;$O29,明细数据!$E:$E,"&lt;="&amp;$P29)</f>
        <v>0</v>
      </c>
      <c r="I29" s="22" t="e">
        <f>IFERROR(($G29-$K29)/$K29,NA())</f>
        <v>#N/A</v>
      </c>
      <c r="J29" s="22" t="e">
        <f>IFERROR(($G29-$H29)/$H29,NA())</f>
        <v>#N/A</v>
      </c>
      <c r="K29" s="16">
        <f>SUMIFS(明细数据!$L:$L,明细数据!$C:$C,"交易概况",明细数据!$J:$J,"成交金额",明细数据!$K:$K,"本期值",明细数据!$E:$E,"&gt;="&amp;$Q29,明细数据!$E:$E,"&lt;="&amp;$R29)</f>
        <v>0</v>
      </c>
      <c r="M29" s="5">
        <v>46082</v>
      </c>
      <c r="N29" s="5">
        <v>46112</v>
      </c>
      <c r="O29" s="5">
        <v>46054</v>
      </c>
      <c r="P29" s="5">
        <v>46081</v>
      </c>
      <c r="Q29" s="5">
        <v>45717</v>
      </c>
      <c r="R29" s="5">
        <v>45747</v>
      </c>
    </row>
    <row r="30" spans="6:24">
      <c r="F30" s="31">
        <v>46113</v>
      </c>
      <c r="G30" s="16">
        <f>SUMIFS(明细数据!$L:$L,明细数据!$C:$C,"交易概况",明细数据!$J:$J,"成交金额",明细数据!$K:$K,"本期值",明细数据!$E:$E,"&gt;="&amp;$M30,明细数据!$E:$E,"&lt;="&amp;$N30)</f>
        <v>0</v>
      </c>
      <c r="H30" s="16">
        <f>SUMIFS(明细数据!$L:$L,明细数据!$C:$C,"交易概况",明细数据!$J:$J,"成交金额",明细数据!$K:$K,"本期值",明细数据!$E:$E,"&gt;="&amp;$O30,明细数据!$E:$E,"&lt;="&amp;$P30)</f>
        <v>0</v>
      </c>
      <c r="I30" s="22" t="e">
        <f>IFERROR(($G30-$K30)/$K30,NA())</f>
        <v>#N/A</v>
      </c>
      <c r="J30" s="22" t="e">
        <f>IFERROR(($G30-$H30)/$H30,NA())</f>
        <v>#N/A</v>
      </c>
      <c r="K30" s="16">
        <f>SUMIFS(明细数据!$L:$L,明细数据!$C:$C,"交易概况",明细数据!$J:$J,"成交金额",明细数据!$K:$K,"本期值",明细数据!$E:$E,"&gt;="&amp;$Q30,明细数据!$E:$E,"&lt;="&amp;$R30)</f>
        <v>0</v>
      </c>
      <c r="M30" s="5">
        <v>46113</v>
      </c>
      <c r="N30" s="5">
        <v>46142</v>
      </c>
      <c r="O30" s="5">
        <v>46082</v>
      </c>
      <c r="P30" s="5">
        <v>46112</v>
      </c>
      <c r="Q30" s="5">
        <v>45748</v>
      </c>
      <c r="R30" s="5">
        <v>45777</v>
      </c>
    </row>
    <row r="31" spans="6:24">
      <c r="F31" s="31">
        <v>46143</v>
      </c>
      <c r="G31" s="16">
        <f>SUMIFS(明细数据!$L:$L,明细数据!$C:$C,"交易概况",明细数据!$J:$J,"成交金额",明细数据!$K:$K,"本期值",明细数据!$E:$E,"&gt;="&amp;$M31,明细数据!$E:$E,"&lt;="&amp;$N31)</f>
        <v>0</v>
      </c>
      <c r="H31" s="16">
        <f>SUMIFS(明细数据!$L:$L,明细数据!$C:$C,"交易概况",明细数据!$J:$J,"成交金额",明细数据!$K:$K,"本期值",明细数据!$E:$E,"&gt;="&amp;$O31,明细数据!$E:$E,"&lt;="&amp;$P31)</f>
        <v>0</v>
      </c>
      <c r="I31" s="22" t="e">
        <f>IFERROR(($G31-$K31)/$K31,NA())</f>
        <v>#N/A</v>
      </c>
      <c r="J31" s="22" t="e">
        <f>IFERROR(($G31-$H31)/$H31,NA())</f>
        <v>#N/A</v>
      </c>
      <c r="K31" s="16">
        <f>SUMIFS(明细数据!$L:$L,明细数据!$C:$C,"交易概况",明细数据!$J:$J,"成交金额",明细数据!$K:$K,"本期值",明细数据!$E:$E,"&gt;="&amp;$Q31,明细数据!$E:$E,"&lt;="&amp;$R31)</f>
        <v>0</v>
      </c>
      <c r="M31" s="5">
        <v>46143</v>
      </c>
      <c r="N31" s="5">
        <v>46173</v>
      </c>
      <c r="O31" s="5">
        <v>46113</v>
      </c>
      <c r="P31" s="5">
        <v>46142</v>
      </c>
      <c r="Q31" s="5">
        <v>45778</v>
      </c>
      <c r="R31" s="5">
        <v>45808</v>
      </c>
    </row>
    <row r="32" spans="6:24">
      <c r="F32" s="31">
        <v>46174</v>
      </c>
      <c r="G32" s="16">
        <f>SUMIFS(明细数据!$L:$L,明细数据!$C:$C,"交易概况",明细数据!$J:$J,"成交金额",明细数据!$K:$K,"本期值",明细数据!$E:$E,"&gt;="&amp;$M32,明细数据!$E:$E,"&lt;="&amp;$N32)</f>
        <v>0</v>
      </c>
      <c r="H32" s="16">
        <f>SUMIFS(明细数据!$L:$L,明细数据!$C:$C,"交易概况",明细数据!$J:$J,"成交金额",明细数据!$K:$K,"本期值",明细数据!$E:$E,"&gt;="&amp;$O32,明细数据!$E:$E,"&lt;="&amp;$P32)</f>
        <v>0</v>
      </c>
      <c r="I32" s="22" t="e">
        <f>IFERROR(($G32-$K32)/$K32,NA())</f>
        <v>#N/A</v>
      </c>
      <c r="J32" s="22" t="e">
        <f>IFERROR(($G32-$H32)/$H32,NA())</f>
        <v>#N/A</v>
      </c>
      <c r="K32" s="16">
        <f>SUMIFS(明细数据!$L:$L,明细数据!$C:$C,"交易概况",明细数据!$J:$J,"成交金额",明细数据!$K:$K,"本期值",明细数据!$E:$E,"&gt;="&amp;$Q32,明细数据!$E:$E,"&lt;="&amp;$R32)</f>
        <v>0</v>
      </c>
      <c r="M32" s="5">
        <v>46174</v>
      </c>
      <c r="N32" s="5">
        <v>46203</v>
      </c>
      <c r="O32" s="5">
        <v>46143</v>
      </c>
      <c r="P32" s="5">
        <v>46173</v>
      </c>
      <c r="Q32" s="5">
        <v>45809</v>
      </c>
      <c r="R32" s="5">
        <v>45838</v>
      </c>
    </row>
    <row r="33" spans="6:18">
      <c r="F33" s="31">
        <v>46204</v>
      </c>
      <c r="G33" s="16">
        <f>SUMIFS(明细数据!$L:$L,明细数据!$C:$C,"交易概况",明细数据!$J:$J,"成交金额",明细数据!$K:$K,"本期值",明细数据!$E:$E,"&gt;="&amp;$M33,明细数据!$E:$E,"&lt;="&amp;$N33)</f>
        <v>0</v>
      </c>
      <c r="H33" s="16">
        <f>SUMIFS(明细数据!$L:$L,明细数据!$C:$C,"交易概况",明细数据!$J:$J,"成交金额",明细数据!$K:$K,"本期值",明细数据!$E:$E,"&gt;="&amp;$O33,明细数据!$E:$E,"&lt;="&amp;$P33)</f>
        <v>0</v>
      </c>
      <c r="I33" s="22" t="e">
        <f>IFERROR(($G33-$K33)/$K33,NA())</f>
        <v>#N/A</v>
      </c>
      <c r="J33" s="22" t="e">
        <f>IFERROR(($G33-$H33)/$H33,NA())</f>
        <v>#N/A</v>
      </c>
      <c r="K33" s="16">
        <f>SUMIFS(明细数据!$L:$L,明细数据!$C:$C,"交易概况",明细数据!$J:$J,"成交金额",明细数据!$K:$K,"本期值",明细数据!$E:$E,"&gt;="&amp;$Q33,明细数据!$E:$E,"&lt;="&amp;$R33)</f>
        <v>0</v>
      </c>
      <c r="M33" s="5">
        <v>46204</v>
      </c>
      <c r="N33" s="5">
        <v>46234</v>
      </c>
      <c r="O33" s="5">
        <v>46174</v>
      </c>
      <c r="P33" s="5">
        <v>46203</v>
      </c>
      <c r="Q33" s="5">
        <v>45839</v>
      </c>
      <c r="R33" s="5">
        <v>45869</v>
      </c>
    </row>
    <row r="34" spans="6:18">
      <c r="F34" s="31">
        <v>46235</v>
      </c>
      <c r="G34" s="16">
        <f>SUMIFS(明细数据!$L:$L,明细数据!$C:$C,"交易概况",明细数据!$J:$J,"成交金额",明细数据!$K:$K,"本期值",明细数据!$E:$E,"&gt;="&amp;$M34,明细数据!$E:$E,"&lt;="&amp;$N34)</f>
        <v>0</v>
      </c>
      <c r="H34" s="16">
        <f>SUMIFS(明细数据!$L:$L,明细数据!$C:$C,"交易概况",明细数据!$J:$J,"成交金额",明细数据!$K:$K,"本期值",明细数据!$E:$E,"&gt;="&amp;$O34,明细数据!$E:$E,"&lt;="&amp;$P34)</f>
        <v>0</v>
      </c>
      <c r="I34" s="22" t="e">
        <f>IFERROR(($G34-$K34)/$K34,NA())</f>
        <v>#N/A</v>
      </c>
      <c r="J34" s="22" t="e">
        <f>IFERROR(($G34-$H34)/$H34,NA())</f>
        <v>#N/A</v>
      </c>
      <c r="K34" s="16">
        <f>SUMIFS(明细数据!$L:$L,明细数据!$C:$C,"交易概况",明细数据!$J:$J,"成交金额",明细数据!$K:$K,"本期值",明细数据!$E:$E,"&gt;="&amp;$Q34,明细数据!$E:$E,"&lt;="&amp;$R34)</f>
        <v>0</v>
      </c>
      <c r="M34" s="5">
        <v>46235</v>
      </c>
      <c r="N34" s="5">
        <v>46265</v>
      </c>
      <c r="O34" s="5">
        <v>46204</v>
      </c>
      <c r="P34" s="5">
        <v>46234</v>
      </c>
      <c r="Q34" s="5">
        <v>45870</v>
      </c>
      <c r="R34" s="5">
        <v>45900</v>
      </c>
    </row>
    <row r="35" spans="6:18">
      <c r="F35" s="31">
        <v>46266</v>
      </c>
      <c r="G35" s="16">
        <f>SUMIFS(明细数据!$L:$L,明细数据!$C:$C,"交易概况",明细数据!$J:$J,"成交金额",明细数据!$K:$K,"本期值",明细数据!$E:$E,"&gt;="&amp;$M35,明细数据!$E:$E,"&lt;="&amp;$N35)</f>
        <v>0</v>
      </c>
      <c r="H35" s="16">
        <f>SUMIFS(明细数据!$L:$L,明细数据!$C:$C,"交易概况",明细数据!$J:$J,"成交金额",明细数据!$K:$K,"本期值",明细数据!$E:$E,"&gt;="&amp;$O35,明细数据!$E:$E,"&lt;="&amp;$P35)</f>
        <v>0</v>
      </c>
      <c r="I35" s="22" t="e">
        <f>IFERROR(($G35-$K35)/$K35,NA())</f>
        <v>#N/A</v>
      </c>
      <c r="J35" s="22" t="e">
        <f>IFERROR(($G35-$H35)/$H35,NA())</f>
        <v>#N/A</v>
      </c>
      <c r="K35" s="16">
        <f>SUMIFS(明细数据!$L:$L,明细数据!$C:$C,"交易概况",明细数据!$J:$J,"成交金额",明细数据!$K:$K,"本期值",明细数据!$E:$E,"&gt;="&amp;$Q35,明细数据!$E:$E,"&lt;="&amp;$R35)</f>
        <v>0</v>
      </c>
      <c r="M35" s="5">
        <v>46266</v>
      </c>
      <c r="N35" s="5">
        <v>46295</v>
      </c>
      <c r="O35" s="5">
        <v>46235</v>
      </c>
      <c r="P35" s="5">
        <v>46265</v>
      </c>
      <c r="Q35" s="5">
        <v>45901</v>
      </c>
      <c r="R35" s="5">
        <v>45930</v>
      </c>
    </row>
    <row r="38" spans="6:18">
      <c r="F38" s="15" t="s">
        <v>385</v>
      </c>
      <c r="G38" s="15" t="s">
        <v>367</v>
      </c>
      <c r="H38" s="15" t="s">
        <v>368</v>
      </c>
      <c r="I38" s="15" t="s">
        <v>369</v>
      </c>
      <c r="J38" s="15" t="s">
        <v>370</v>
      </c>
      <c r="K38" s="15" t="s">
        <v>371</v>
      </c>
    </row>
    <row r="39" spans="6:18">
      <c r="F39" t="s">
        <v>386</v>
      </c>
      <c r="G39" s="16">
        <f>SUMIFS(明细数据!$L:$L,明细数据!$C:$C,"交易概况",明细数据!$J:$J,"成交金额",明细数据!$K:$K,"本期值",明细数据!$E:$E,"&gt;="&amp;$M39,明细数据!$E:$E,"&lt;="&amp;$N39)</f>
        <v>0</v>
      </c>
      <c r="H39" s="16">
        <f>SUMIFS(明细数据!$L:$L,明细数据!$C:$C,"交易概况",明细数据!$J:$J,"成交金额",明细数据!$K:$K,"本期值",明细数据!$E:$E,"&gt;="&amp;$O39,明细数据!$E:$E,"&lt;="&amp;$P39)</f>
        <v>0</v>
      </c>
      <c r="I39" s="22" t="e">
        <f>IFERROR(($G39-$K39)/$K39,NA())</f>
        <v>#N/A</v>
      </c>
      <c r="J39" s="22" t="e">
        <f>IFERROR(($G39-$H39)/$H39,NA())</f>
        <v>#N/A</v>
      </c>
      <c r="K39" s="16">
        <f>SUMIFS(明细数据!$L:$L,明细数据!$C:$C,"交易概况",明细数据!$J:$J,"成交金额",明细数据!$K:$K,"本期值",明细数据!$E:$E,"&gt;="&amp;$Q39,明细数据!$E:$E,"&lt;="&amp;$R39)</f>
        <v>0</v>
      </c>
      <c r="M39" s="5">
        <v>45658</v>
      </c>
      <c r="N39" s="5">
        <v>46022</v>
      </c>
      <c r="O39" s="5">
        <v>45292</v>
      </c>
      <c r="P39" s="5">
        <v>45657</v>
      </c>
      <c r="Q39" s="5">
        <v>44927</v>
      </c>
      <c r="R39" s="5">
        <v>45291</v>
      </c>
    </row>
    <row r="40" spans="6:18">
      <c r="F40" t="s">
        <v>387</v>
      </c>
      <c r="G40" s="16">
        <f>SUMIFS(明细数据!$L:$L,明细数据!$C:$C,"交易概况",明细数据!$J:$J,"成交金额",明细数据!$K:$K,"本期值",明细数据!$E:$E,"&gt;="&amp;$M40,明细数据!$E:$E,"&lt;="&amp;$N40)</f>
        <v>0</v>
      </c>
      <c r="H40" s="16">
        <f>SUMIFS(明细数据!$L:$L,明细数据!$C:$C,"交易概况",明细数据!$J:$J,"成交金额",明细数据!$K:$K,"本期值",明细数据!$E:$E,"&gt;="&amp;$O40,明细数据!$E:$E,"&lt;="&amp;$P40)</f>
        <v>0</v>
      </c>
      <c r="I40" s="22" t="e">
        <f>IFERROR(($G40-$K40)/$K40,NA())</f>
        <v>#N/A</v>
      </c>
      <c r="J40" s="22" t="e">
        <f>IFERROR(($G40-$H40)/$H40,NA())</f>
        <v>#N/A</v>
      </c>
      <c r="K40" s="16">
        <f>SUMIFS(明细数据!$L:$L,明细数据!$C:$C,"交易概况",明细数据!$J:$J,"成交金额",明细数据!$K:$K,"本期值",明细数据!$E:$E,"&gt;="&amp;$Q40,明细数据!$E:$E,"&lt;="&amp;$R40)</f>
        <v>0</v>
      </c>
      <c r="M40" s="5">
        <v>46023</v>
      </c>
      <c r="N40" s="5">
        <v>46387</v>
      </c>
      <c r="O40" s="5">
        <v>45658</v>
      </c>
      <c r="P40" s="5">
        <v>46022</v>
      </c>
      <c r="Q40" s="5">
        <v>45292</v>
      </c>
      <c r="R40" s="5">
        <v>45657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"/>
    </sheetView>
  </sheetViews>
  <sheetFormatPr defaultColWidth="9" defaultRowHeight="13.5" outlineLevelCol="7"/>
  <cols>
    <col min="1" max="1" width="22.625" customWidth="1"/>
    <col min="2" max="2" width="18.625" customWidth="1"/>
    <col min="3" max="3" width="44.625" customWidth="1"/>
    <col min="7" max="7" width="20.625" customWidth="1"/>
    <col min="8" max="8" width="16.625" customWidth="1"/>
  </cols>
  <sheetData>
    <row r="1" ht="15" spans="1:8">
      <c r="A1" s="13" t="s">
        <v>388</v>
      </c>
    </row>
    <row r="2" spans="1:8">
      <c r="G2" s="3" t="s">
        <v>389</v>
      </c>
      <c r="H2" s="14">
        <v>46266</v>
      </c>
    </row>
    <row r="3" spans="1:8">
      <c r="A3" s="15" t="s">
        <v>390</v>
      </c>
      <c r="B3" s="15" t="s">
        <v>391</v>
      </c>
      <c r="C3" s="15" t="s">
        <v>392</v>
      </c>
      <c r="D3" s="15" t="s">
        <v>380</v>
      </c>
      <c r="E3" s="15" t="s">
        <v>358</v>
      </c>
      <c r="G3" s="3" t="s">
        <v>391</v>
      </c>
      <c r="H3" s="16" t="e">
        <f>IFERROR(VLOOKUP($H$2,$A$4:$E$18,2,FALSE),NA())</f>
        <v>#N/A</v>
      </c>
    </row>
    <row r="4" spans="1:8">
      <c r="A4" s="17">
        <v>45839</v>
      </c>
      <c r="B4" s="18"/>
      <c r="C4" s="18"/>
      <c r="D4" s="19"/>
      <c r="E4" s="20"/>
      <c r="G4" s="3" t="s">
        <v>393</v>
      </c>
      <c r="H4" s="16">
        <f>IFERROR(SUMIFS($B$4:$B$18,$A$4:$A$18,"&lt;="&amp;$H$2),NA())</f>
        <v>0</v>
      </c>
    </row>
    <row r="5" spans="1:8">
      <c r="A5" s="17">
        <v>45870</v>
      </c>
      <c r="B5" s="18"/>
      <c r="C5" s="18"/>
      <c r="D5" s="19"/>
      <c r="E5" s="20"/>
      <c r="G5" s="3" t="s">
        <v>394</v>
      </c>
      <c r="H5" s="16" t="e">
        <f>IFERROR(VLOOKUP($H$2,$A$4:$E$18,3,FALSE),NA())</f>
        <v>#N/A</v>
      </c>
    </row>
    <row r="6" spans="1:8">
      <c r="A6" s="17">
        <v>45901</v>
      </c>
      <c r="B6" s="18"/>
      <c r="C6" s="18"/>
      <c r="D6" s="19"/>
      <c r="E6" s="20"/>
      <c r="G6" s="3" t="s">
        <v>380</v>
      </c>
      <c r="H6" s="21" t="e">
        <f>IFERROR(VLOOKUP($H$2,$A$4:$E$18,4,FALSE),NA())</f>
        <v>#N/A</v>
      </c>
    </row>
    <row r="7" spans="1:8">
      <c r="A7" s="17">
        <v>45931</v>
      </c>
      <c r="B7" s="18"/>
      <c r="C7" s="18"/>
      <c r="D7" s="19"/>
      <c r="E7" s="20"/>
      <c r="G7" s="3" t="s">
        <v>358</v>
      </c>
      <c r="H7" s="22" t="e">
        <f>IFERROR(VLOOKUP($H$2,$A$4:$E$18,5,FALSE),NA())</f>
        <v>#N/A</v>
      </c>
    </row>
    <row r="8" spans="1:8">
      <c r="A8" s="17">
        <v>45962</v>
      </c>
      <c r="B8" s="18"/>
      <c r="C8" s="18"/>
      <c r="D8" s="19"/>
      <c r="E8" s="20"/>
    </row>
    <row r="9" spans="1:8">
      <c r="A9" s="17">
        <v>45992</v>
      </c>
      <c r="B9" s="18"/>
      <c r="C9" s="18"/>
      <c r="D9" s="19"/>
      <c r="E9" s="20"/>
    </row>
    <row r="10" ht="14.25" spans="1:8">
      <c r="A10" s="23" t="s">
        <v>395</v>
      </c>
      <c r="B10" s="18"/>
      <c r="C10" s="18"/>
      <c r="D10" s="19"/>
      <c r="E10" s="20"/>
    </row>
    <row r="11" spans="1:8">
      <c r="A11" s="24" t="s">
        <v>336</v>
      </c>
      <c r="B11" s="25" t="s">
        <v>337</v>
      </c>
      <c r="C11" s="25" t="s">
        <v>338</v>
      </c>
      <c r="D11" s="19"/>
      <c r="E11" s="20"/>
    </row>
    <row r="12" spans="1:8">
      <c r="A12" s="17" t="s">
        <v>339</v>
      </c>
      <c r="B12" s="26">
        <f>SUMIFS(明细数据!$L:$L,明细数据!$C:$C,"全站营销_推广管理_单品推广",明细数据!$J:$J,"花费",明细数据!$K:$K,"本期值",明细数据!$E:$E,"&gt;="&amp;目标预算!$H$2,明细数据!$E:$E,"&lt;="&amp;目标预算!$H$2+32-DAY(目标预算!$H$2))</f>
        <v>0</v>
      </c>
      <c r="C12" s="27" t="s">
        <v>340</v>
      </c>
      <c r="D12" s="19"/>
      <c r="E12" s="20"/>
    </row>
    <row r="13" spans="1:8">
      <c r="A13" s="17" t="s">
        <v>396</v>
      </c>
      <c r="B13" s="26">
        <f>SUMIFS(明细数据!$L:$L,明细数据!$C:$C,"全站营销_推广管理_单品推广",明细数据!$J:$J,"全站交易额",明细数据!$K:$K,"本期值",明细数据!$E:$E,"&gt;="&amp;目标预算!$H$2,明细数据!$E:$E,"&lt;="&amp;目标预算!$H$2+32-DAY(目标预算!$H$2))</f>
        <v>0</v>
      </c>
      <c r="C13" s="27" t="s">
        <v>397</v>
      </c>
      <c r="D13" s="19"/>
      <c r="E13" s="20"/>
    </row>
    <row r="14" spans="1:8">
      <c r="A14" s="17" t="s">
        <v>341</v>
      </c>
      <c r="B14" s="26">
        <f>SUMIFS(明细数据!$L:$L,明细数据!$C:$C,"交易概况",明细数据!$J:$J,"成交金额",明细数据!$K:$K,"本期值",明细数据!$E:$E,"&gt;="&amp;目标预算!$H$2,明细数据!$E:$E,"&lt;="&amp;目标预算!$H$2+32-DAY(目标预算!$H$2))</f>
        <v>0</v>
      </c>
      <c r="C14" s="27" t="s">
        <v>342</v>
      </c>
      <c r="D14" s="19"/>
      <c r="E14" s="20"/>
    </row>
    <row r="15" spans="1:8">
      <c r="A15" s="17" t="s">
        <v>344</v>
      </c>
      <c r="B15" s="26" t="e">
        <f>$H$5</f>
        <v>#N/A</v>
      </c>
      <c r="C15" s="27" t="s">
        <v>345</v>
      </c>
      <c r="D15" s="19"/>
      <c r="E15" s="20"/>
    </row>
    <row r="16" spans="1:8">
      <c r="A16" s="17" t="s">
        <v>346</v>
      </c>
      <c r="B16" s="20" t="e">
        <f>IFERROR($B$12/$B$15,NA())</f>
        <v>#N/A</v>
      </c>
      <c r="C16" s="27" t="s">
        <v>347</v>
      </c>
      <c r="D16" s="19"/>
      <c r="E16" s="20"/>
    </row>
    <row r="17" spans="1:5">
      <c r="A17" s="17" t="s">
        <v>348</v>
      </c>
      <c r="B17" s="20">
        <f>IFERROR(DAY(目标预算!$H$2+32-DAY(目标预算!$H$2))/DAY(EOMONTH(目标预算!$H$2,0)),NA())</f>
        <v>0.0666666666666667</v>
      </c>
      <c r="C17" s="27" t="s">
        <v>349</v>
      </c>
      <c r="D17" s="19"/>
      <c r="E17" s="20"/>
    </row>
    <row r="18" spans="1:5">
      <c r="A18" s="17" t="s">
        <v>350</v>
      </c>
      <c r="B18" s="20" t="e">
        <f>IFERROR($B$16-$B$17,NA())</f>
        <v>#N/A</v>
      </c>
      <c r="C18" s="27" t="s">
        <v>351</v>
      </c>
      <c r="D18" s="19"/>
      <c r="E18" s="20"/>
    </row>
    <row r="19" spans="1:5">
      <c r="A19" t="s">
        <v>352</v>
      </c>
      <c r="B19" s="21" t="e">
        <f>IFERROR($B$13/$B$12,NA())</f>
        <v>#N/A</v>
      </c>
      <c r="C19" s="28" t="s">
        <v>353</v>
      </c>
    </row>
    <row r="20" spans="1:5">
      <c r="A20" t="s">
        <v>380</v>
      </c>
      <c r="B20" s="21" t="e">
        <f>$H$6</f>
        <v>#N/A</v>
      </c>
      <c r="C20" s="28" t="s">
        <v>398</v>
      </c>
    </row>
    <row r="21" spans="1:5">
      <c r="A21" t="s">
        <v>354</v>
      </c>
      <c r="B21" s="22" t="e">
        <f>IFERROR($B$19/$B$20,NA())</f>
        <v>#N/A</v>
      </c>
      <c r="C21" s="28" t="s">
        <v>355</v>
      </c>
    </row>
    <row r="22" spans="1:5">
      <c r="A22" t="s">
        <v>356</v>
      </c>
      <c r="B22" s="22" t="e">
        <f>IFERROR($B$12/$B$14,NA())</f>
        <v>#N/A</v>
      </c>
      <c r="C22" s="28" t="s">
        <v>357</v>
      </c>
    </row>
    <row r="23" spans="1:5">
      <c r="A23" t="s">
        <v>358</v>
      </c>
      <c r="B23" s="22" t="e">
        <f>$H$7</f>
        <v>#N/A</v>
      </c>
      <c r="C23" s="28" t="s">
        <v>359</v>
      </c>
    </row>
    <row r="24" spans="1:5">
      <c r="A24" t="s">
        <v>360</v>
      </c>
      <c r="B24" s="29" t="e">
        <f>IF($B$16&gt;$B$17+0.05,"超前花钱",IF($B$16&lt;$B$17-0.15,"投放不足","进度正常"))</f>
        <v>#N/A</v>
      </c>
      <c r="C24" s="28" t="s">
        <v>361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10" t="s">
        <v>399</v>
      </c>
    </row>
    <row r="3" spans="1:2">
      <c r="A3" s="3" t="s">
        <v>0</v>
      </c>
      <c r="B3" t="s">
        <v>13</v>
      </c>
    </row>
    <row r="4" spans="1:2">
      <c r="A4" s="3" t="s">
        <v>400</v>
      </c>
      <c r="B4" t="s">
        <v>401</v>
      </c>
    </row>
    <row r="5" spans="1:2">
      <c r="A5" s="3" t="s">
        <v>402</v>
      </c>
      <c r="B5" t="s">
        <v>403</v>
      </c>
    </row>
    <row r="6" spans="1:2">
      <c r="A6" s="3" t="s">
        <v>404</v>
      </c>
      <c r="B6" s="9">
        <v>46295.75</v>
      </c>
    </row>
    <row r="7" spans="1:2">
      <c r="A7" s="3" t="s">
        <v>405</v>
      </c>
      <c r="B7" t="s">
        <v>406</v>
      </c>
    </row>
    <row r="8" spans="1:2">
      <c r="A8" s="3" t="s">
        <v>407</v>
      </c>
      <c r="B8">
        <v>8</v>
      </c>
    </row>
    <row r="9" spans="1:2">
      <c r="A9" s="3" t="s">
        <v>408</v>
      </c>
      <c r="B9">
        <v>8</v>
      </c>
    </row>
    <row r="10" spans="1:2">
      <c r="A10" s="3" t="s">
        <v>409</v>
      </c>
      <c r="B10">
        <v>391</v>
      </c>
    </row>
    <row r="11" spans="1:2">
      <c r="A11" s="3" t="s">
        <v>410</v>
      </c>
      <c r="B11">
        <v>120</v>
      </c>
    </row>
    <row r="12" spans="1:2">
      <c r="A12" s="3" t="s">
        <v>411</v>
      </c>
      <c r="B12">
        <v>19</v>
      </c>
    </row>
    <row r="13" spans="1:2">
      <c r="A13" s="3" t="s">
        <v>412</v>
      </c>
      <c r="B13">
        <v>0</v>
      </c>
    </row>
    <row r="14" spans="1:2">
      <c r="A14" s="3" t="s">
        <v>413</v>
      </c>
      <c r="B14">
        <v>3</v>
      </c>
    </row>
    <row r="15" spans="1:2">
      <c r="A15" s="3" t="s">
        <v>414</v>
      </c>
      <c r="B15" t="s">
        <v>415</v>
      </c>
    </row>
    <row r="17" spans="1:1">
      <c r="A17" s="11" t="s">
        <v>416</v>
      </c>
    </row>
    <row r="18" spans="1:1">
      <c r="A18" t="s">
        <v>417</v>
      </c>
    </row>
    <row r="20" spans="1:1">
      <c r="A20" s="12" t="s">
        <v>418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4" customWidth="1"/>
    <col min="3" max="3" width="43.625" customWidth="1"/>
    <col min="4" max="5" width="9.375" customWidth="1"/>
    <col min="6" max="6" width="12.875" customWidth="1"/>
    <col min="7" max="7" width="16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419</v>
      </c>
      <c r="B1" s="1" t="s">
        <v>1</v>
      </c>
      <c r="C1" s="1" t="s">
        <v>2</v>
      </c>
      <c r="D1" s="1" t="s">
        <v>420</v>
      </c>
      <c r="E1" s="1" t="s">
        <v>3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L1"/>
    </row>
    <row r="2" spans="1:12">
      <c r="A2" t="s">
        <v>22</v>
      </c>
      <c r="B2">
        <v>11623441</v>
      </c>
      <c r="C2" t="s">
        <v>14</v>
      </c>
      <c r="D2" t="s">
        <v>426</v>
      </c>
      <c r="E2" t="s">
        <v>15</v>
      </c>
      <c r="F2" t="s">
        <v>427</v>
      </c>
      <c r="G2" s="2">
        <v>46293</v>
      </c>
      <c r="H2" s="2">
        <v>46293</v>
      </c>
      <c r="I2">
        <v>130</v>
      </c>
      <c r="J2">
        <v>0</v>
      </c>
    </row>
    <row r="3" spans="1:12">
      <c r="A3" t="s">
        <v>159</v>
      </c>
      <c r="B3">
        <v>11623441</v>
      </c>
      <c r="C3" t="s">
        <v>158</v>
      </c>
      <c r="D3" t="s">
        <v>241</v>
      </c>
      <c r="E3" t="s">
        <v>15</v>
      </c>
      <c r="F3" t="s">
        <v>428</v>
      </c>
      <c r="G3" s="2">
        <v>46293</v>
      </c>
      <c r="H3" s="2">
        <v>46293</v>
      </c>
      <c r="I3">
        <v>58</v>
      </c>
      <c r="J3">
        <v>0</v>
      </c>
    </row>
    <row r="4" spans="1:12">
      <c r="A4" t="s">
        <v>178</v>
      </c>
      <c r="B4">
        <v>11623441</v>
      </c>
      <c r="C4" t="s">
        <v>175</v>
      </c>
      <c r="D4" t="s">
        <v>429</v>
      </c>
      <c r="E4" t="s">
        <v>176</v>
      </c>
      <c r="F4" t="s">
        <v>428</v>
      </c>
      <c r="G4" s="9">
        <v>46294</v>
      </c>
      <c r="H4" s="9">
        <v>46294.4171412037</v>
      </c>
      <c r="I4">
        <v>35</v>
      </c>
      <c r="J4">
        <v>0</v>
      </c>
    </row>
    <row r="5" spans="1:12">
      <c r="A5" t="s">
        <v>208</v>
      </c>
      <c r="B5">
        <v>11623441</v>
      </c>
      <c r="C5" t="s">
        <v>207</v>
      </c>
      <c r="D5" t="s">
        <v>426</v>
      </c>
      <c r="E5" t="s">
        <v>15</v>
      </c>
      <c r="F5" t="s">
        <v>428</v>
      </c>
      <c r="G5" s="2">
        <v>46293</v>
      </c>
      <c r="H5" s="2">
        <v>46293</v>
      </c>
      <c r="I5">
        <v>61</v>
      </c>
      <c r="J5">
        <v>0</v>
      </c>
    </row>
    <row r="6" spans="1:12">
      <c r="A6" t="s">
        <v>229</v>
      </c>
      <c r="B6">
        <v>11623441</v>
      </c>
      <c r="C6" t="s">
        <v>227</v>
      </c>
      <c r="D6" t="s">
        <v>429</v>
      </c>
      <c r="E6" t="s">
        <v>176</v>
      </c>
      <c r="F6" t="s">
        <v>428</v>
      </c>
      <c r="G6" s="9">
        <v>46294</v>
      </c>
      <c r="H6" s="9">
        <v>46294.4169097222</v>
      </c>
      <c r="I6">
        <v>27</v>
      </c>
      <c r="J6">
        <v>0</v>
      </c>
    </row>
    <row r="7" spans="1:12">
      <c r="A7" t="s">
        <v>244</v>
      </c>
      <c r="B7" t="s">
        <v>239</v>
      </c>
      <c r="C7" t="s">
        <v>240</v>
      </c>
      <c r="D7" t="s">
        <v>241</v>
      </c>
      <c r="E7" t="s">
        <v>241</v>
      </c>
      <c r="F7" t="s">
        <v>428</v>
      </c>
      <c r="G7" s="2">
        <v>46288</v>
      </c>
      <c r="H7" s="2">
        <v>46294</v>
      </c>
      <c r="I7">
        <v>37</v>
      </c>
      <c r="J7">
        <v>0</v>
      </c>
    </row>
    <row r="8" spans="1:12">
      <c r="A8" t="s">
        <v>283</v>
      </c>
      <c r="B8" t="s">
        <v>239</v>
      </c>
      <c r="C8" t="s">
        <v>281</v>
      </c>
      <c r="D8" t="s">
        <v>241</v>
      </c>
      <c r="E8" t="s">
        <v>241</v>
      </c>
      <c r="F8" t="s">
        <v>428</v>
      </c>
      <c r="G8" s="2">
        <v>46288</v>
      </c>
      <c r="H8" s="2">
        <v>46294</v>
      </c>
      <c r="I8">
        <v>16</v>
      </c>
      <c r="J8">
        <v>0</v>
      </c>
    </row>
    <row r="9" spans="1:12">
      <c r="A9" t="s">
        <v>300</v>
      </c>
      <c r="B9" t="s">
        <v>430</v>
      </c>
      <c r="C9" t="s">
        <v>298</v>
      </c>
      <c r="D9" t="s">
        <v>241</v>
      </c>
      <c r="E9" t="s">
        <v>241</v>
      </c>
      <c r="F9" t="s">
        <v>303</v>
      </c>
      <c r="G9" s="2">
        <v>46293</v>
      </c>
      <c r="H9" s="2">
        <v>46293</v>
      </c>
      <c r="I9">
        <v>27</v>
      </c>
      <c r="J9">
        <v>1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4" width="9.375" customWidth="1"/>
    <col min="5" max="5" width="9.375" style="5" customWidth="1"/>
    <col min="6" max="6" width="5.375" customWidth="1"/>
    <col min="7" max="7" width="4.75" customWidth="1"/>
    <col min="8" max="8" width="8.75" customWidth="1"/>
    <col min="9" max="9" width="9.375" customWidth="1"/>
    <col min="10" max="10" width="11.5" customWidth="1"/>
    <col min="11" max="11" width="7.375" customWidth="1"/>
    <col min="12" max="12" width="5.375" style="6" customWidth="1"/>
    <col min="13" max="13" width="9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7" t="s">
        <v>431</v>
      </c>
      <c r="F1" s="1" t="s">
        <v>327</v>
      </c>
      <c r="G1" s="1" t="s">
        <v>230</v>
      </c>
      <c r="H1" s="1" t="s">
        <v>231</v>
      </c>
      <c r="I1" s="1" t="s">
        <v>432</v>
      </c>
      <c r="J1" s="1" t="s">
        <v>7</v>
      </c>
      <c r="K1" s="1" t="s">
        <v>8</v>
      </c>
      <c r="L1" s="8" t="s">
        <v>337</v>
      </c>
      <c r="M1" s="1" t="s">
        <v>12</v>
      </c>
      <c r="O1"/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A1" sqref="A1"/>
    </sheetView>
  </sheetViews>
  <sheetFormatPr defaultColWidth="9" defaultRowHeight="13.5"/>
  <cols>
    <col min="1" max="1" width="43.625"/>
    <col min="2" max="3" width="9.375"/>
    <col min="4" max="4" width="7.375"/>
    <col min="5" max="7" width="9.375"/>
    <col min="8" max="8" width="5.375"/>
    <col min="9" max="9" width="9.375"/>
    <col min="10" max="10" width="5.375"/>
    <col min="11" max="12" width="9.375"/>
    <col min="13" max="13" width="13.75"/>
  </cols>
  <sheetData>
    <row r="1" spans="1:13">
      <c r="A1" s="3" t="s">
        <v>433</v>
      </c>
    </row>
    <row r="4" spans="1:13">
      <c r="B4" t="s">
        <v>434</v>
      </c>
    </row>
    <row r="5" spans="1:13">
      <c r="B5" t="s">
        <v>24</v>
      </c>
      <c r="D5" t="s">
        <v>28</v>
      </c>
      <c r="F5" t="s">
        <v>30</v>
      </c>
      <c r="H5" t="s">
        <v>303</v>
      </c>
      <c r="J5" t="s">
        <v>18</v>
      </c>
      <c r="L5" t="s">
        <v>435</v>
      </c>
      <c r="M5" t="s">
        <v>436</v>
      </c>
    </row>
    <row r="6" spans="1:13">
      <c r="A6" t="s">
        <v>437</v>
      </c>
      <c r="B6" t="s">
        <v>424</v>
      </c>
      <c r="C6" t="s">
        <v>438</v>
      </c>
      <c r="D6" t="s">
        <v>424</v>
      </c>
      <c r="E6" t="s">
        <v>438</v>
      </c>
      <c r="F6" t="s">
        <v>424</v>
      </c>
      <c r="G6" t="s">
        <v>438</v>
      </c>
      <c r="H6" t="s">
        <v>424</v>
      </c>
      <c r="I6" t="s">
        <v>438</v>
      </c>
      <c r="J6" t="s">
        <v>424</v>
      </c>
      <c r="K6" t="s">
        <v>438</v>
      </c>
    </row>
    <row r="7" spans="1:13">
      <c r="A7" s="4" t="s">
        <v>240</v>
      </c>
      <c r="B7">
        <v>37</v>
      </c>
      <c r="C7">
        <v>37</v>
      </c>
      <c r="L7">
        <v>37</v>
      </c>
      <c r="M7">
        <v>37</v>
      </c>
    </row>
    <row r="8" spans="1:13">
      <c r="A8" s="4" t="s">
        <v>14</v>
      </c>
      <c r="B8">
        <v>43</v>
      </c>
      <c r="C8">
        <v>43</v>
      </c>
      <c r="D8">
        <v>43</v>
      </c>
      <c r="E8">
        <v>43</v>
      </c>
      <c r="F8">
        <v>43</v>
      </c>
      <c r="G8">
        <v>43</v>
      </c>
      <c r="J8">
        <v>1</v>
      </c>
      <c r="K8">
        <v>1</v>
      </c>
      <c r="L8">
        <v>130</v>
      </c>
      <c r="M8">
        <v>130</v>
      </c>
    </row>
    <row r="9" spans="1:13">
      <c r="A9" s="4" t="s">
        <v>158</v>
      </c>
      <c r="B9">
        <v>19</v>
      </c>
      <c r="C9">
        <v>19</v>
      </c>
      <c r="D9">
        <v>19</v>
      </c>
      <c r="E9">
        <v>19</v>
      </c>
      <c r="F9">
        <v>19</v>
      </c>
      <c r="G9">
        <v>19</v>
      </c>
      <c r="J9">
        <v>1</v>
      </c>
      <c r="K9">
        <v>1</v>
      </c>
      <c r="L9">
        <v>58</v>
      </c>
      <c r="M9">
        <v>58</v>
      </c>
    </row>
    <row r="10" spans="1:13">
      <c r="A10" s="4" t="s">
        <v>175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J10">
        <v>5</v>
      </c>
      <c r="K10">
        <v>5</v>
      </c>
      <c r="L10">
        <v>35</v>
      </c>
      <c r="M10">
        <v>35</v>
      </c>
    </row>
    <row r="11" spans="1:13">
      <c r="A11" s="4" t="s">
        <v>281</v>
      </c>
      <c r="B11">
        <v>9</v>
      </c>
      <c r="C11">
        <v>9</v>
      </c>
      <c r="J11">
        <v>7</v>
      </c>
      <c r="K11">
        <v>7</v>
      </c>
      <c r="L11">
        <v>16</v>
      </c>
      <c r="M11">
        <v>16</v>
      </c>
    </row>
    <row r="12" spans="1:13">
      <c r="A12" s="4" t="s">
        <v>207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  <c r="J12">
        <v>1</v>
      </c>
      <c r="K12">
        <v>1</v>
      </c>
      <c r="L12">
        <v>61</v>
      </c>
      <c r="M12">
        <v>61</v>
      </c>
    </row>
    <row r="13" spans="1:13">
      <c r="A13" s="4" t="s">
        <v>227</v>
      </c>
      <c r="B13">
        <v>20</v>
      </c>
      <c r="C13">
        <v>20</v>
      </c>
      <c r="J13">
        <v>7</v>
      </c>
      <c r="K13">
        <v>7</v>
      </c>
      <c r="L13">
        <v>27</v>
      </c>
      <c r="M13">
        <v>27</v>
      </c>
    </row>
    <row r="14" spans="1:13">
      <c r="A14" s="4" t="s">
        <v>298</v>
      </c>
      <c r="B14">
        <v>13</v>
      </c>
      <c r="C14">
        <v>13</v>
      </c>
      <c r="H14">
        <v>13</v>
      </c>
      <c r="I14">
        <v>13</v>
      </c>
      <c r="J14">
        <v>1</v>
      </c>
      <c r="K14">
        <v>1</v>
      </c>
      <c r="L14">
        <v>27</v>
      </c>
      <c r="M14">
        <v>27</v>
      </c>
    </row>
    <row r="15" spans="1:13">
      <c r="A15" s="4" t="s">
        <v>439</v>
      </c>
      <c r="B15">
        <v>171</v>
      </c>
      <c r="C15">
        <v>171</v>
      </c>
      <c r="D15">
        <v>92</v>
      </c>
      <c r="E15">
        <v>92</v>
      </c>
      <c r="F15">
        <v>92</v>
      </c>
      <c r="G15">
        <v>92</v>
      </c>
      <c r="H15">
        <v>13</v>
      </c>
      <c r="I15">
        <v>13</v>
      </c>
      <c r="J15">
        <v>23</v>
      </c>
      <c r="K15">
        <v>23</v>
      </c>
      <c r="L15">
        <v>391</v>
      </c>
      <c r="M15">
        <v>391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3"/>
  <cols>
    <col min="1" max="1" width="10.37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299</v>
      </c>
      <c r="B1" s="1" t="s">
        <v>440</v>
      </c>
      <c r="C1" s="1" t="s">
        <v>71</v>
      </c>
      <c r="D1" s="1" t="s">
        <v>38</v>
      </c>
      <c r="E1" s="1" t="s">
        <v>23</v>
      </c>
      <c r="F1" s="1" t="s">
        <v>35</v>
      </c>
      <c r="G1" s="1" t="s">
        <v>31</v>
      </c>
      <c r="H1" s="1" t="s">
        <v>172</v>
      </c>
      <c r="I1" s="1" t="s">
        <v>50</v>
      </c>
      <c r="J1" s="1" t="s">
        <v>47</v>
      </c>
      <c r="K1" s="1" t="s">
        <v>56</v>
      </c>
      <c r="L1" s="1" t="s">
        <v>59</v>
      </c>
      <c r="M1" s="1" t="s">
        <v>68</v>
      </c>
      <c r="N1" s="1" t="s">
        <v>44</v>
      </c>
      <c r="O1" s="1" t="s">
        <v>80</v>
      </c>
      <c r="P1" s="1" t="s">
        <v>77</v>
      </c>
      <c r="Q1" s="1" t="s">
        <v>113</v>
      </c>
      <c r="R1" s="1" t="s">
        <v>95</v>
      </c>
      <c r="S1" s="1" t="s">
        <v>441</v>
      </c>
      <c r="T1" s="1" t="s">
        <v>442</v>
      </c>
      <c r="U1" s="1" t="s">
        <v>443</v>
      </c>
      <c r="V1" s="1" t="s">
        <v>444</v>
      </c>
      <c r="W1" s="1" t="s">
        <v>445</v>
      </c>
      <c r="X1" s="1" t="s">
        <v>446</v>
      </c>
      <c r="Y1" s="1" t="s">
        <v>447</v>
      </c>
      <c r="Z1" s="1" t="s">
        <v>448</v>
      </c>
      <c r="AA1" s="1" t="s">
        <v>449</v>
      </c>
      <c r="AB1" s="1" t="s">
        <v>450</v>
      </c>
      <c r="AC1" s="1" t="s">
        <v>451</v>
      </c>
      <c r="AD1" s="1" t="s">
        <v>452</v>
      </c>
      <c r="AE1" s="1" t="s">
        <v>453</v>
      </c>
      <c r="AF1" s="1" t="s">
        <v>454</v>
      </c>
      <c r="AG1" s="1" t="s">
        <v>455</v>
      </c>
      <c r="AH1" s="1" t="s">
        <v>456</v>
      </c>
      <c r="AJ1"/>
    </row>
    <row r="2" spans="1:36">
      <c r="A2" s="2">
        <v>46288</v>
      </c>
      <c r="B2" t="s">
        <v>366</v>
      </c>
    </row>
    <row r="3" spans="1:36">
      <c r="A3" s="2">
        <v>46293</v>
      </c>
      <c r="B3" t="s">
        <v>366</v>
      </c>
    </row>
    <row r="4" spans="1:36">
      <c r="A4" s="2">
        <v>46294</v>
      </c>
      <c r="B4" t="s">
        <v>366</v>
      </c>
    </row>
  </sheetData>
  <autoFilter xmlns:etc="http://www.wps.cn/officeDocument/2017/etCustomData" ref="A1:AH4" etc:filterBottomFollowUsedRange="0">
    <extLst/>
  </autoFilter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299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186</v>
      </c>
      <c r="H1" s="1" t="s">
        <v>71</v>
      </c>
      <c r="I1" s="1" t="s">
        <v>44</v>
      </c>
      <c r="J1" s="1" t="s">
        <v>189</v>
      </c>
      <c r="K1" s="1" t="s">
        <v>192</v>
      </c>
      <c r="L1" s="1" t="s">
        <v>195</v>
      </c>
      <c r="M1" s="1" t="s">
        <v>198</v>
      </c>
      <c r="N1" s="1" t="s">
        <v>201</v>
      </c>
      <c r="O1" s="1" t="s">
        <v>204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299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</v>
      </c>
      <c r="I1" s="1" t="s">
        <v>31</v>
      </c>
      <c r="J1" s="1" t="s">
        <v>38</v>
      </c>
      <c r="K1" s="1" t="s">
        <v>35</v>
      </c>
      <c r="L1" s="1" t="s">
        <v>172</v>
      </c>
      <c r="M1" s="1" t="s">
        <v>44</v>
      </c>
      <c r="N1" s="1" t="s">
        <v>68</v>
      </c>
      <c r="O1" s="1" t="s">
        <v>71</v>
      </c>
      <c r="P1" s="1" t="s">
        <v>77</v>
      </c>
      <c r="Q1" s="1" t="s">
        <v>80</v>
      </c>
      <c r="R1" s="1" t="s">
        <v>83</v>
      </c>
      <c r="S1" s="1" t="s">
        <v>59</v>
      </c>
      <c r="T1" s="1" t="s">
        <v>56</v>
      </c>
      <c r="U1" s="1" t="s">
        <v>89</v>
      </c>
      <c r="V1" s="1" t="s">
        <v>92</v>
      </c>
      <c r="W1" s="1" t="s">
        <v>62</v>
      </c>
      <c r="X1" s="1" t="s">
        <v>169</v>
      </c>
      <c r="Y1" s="1" t="s">
        <v>236</v>
      </c>
      <c r="Z1" s="1" t="s">
        <v>237</v>
      </c>
      <c r="AA1" s="1" t="s">
        <v>238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指标总览</vt:lpstr>
      <vt:lpstr>商品渠道</vt:lpstr>
      <vt:lpstr>看板</vt:lpstr>
      <vt:lpstr>图表数据</vt:lpstr>
      <vt:lpstr>目标预算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2026-09-30T10:00:00Z</dcterms:created>
  <dcterms:modified xsi:type="dcterms:W3CDTF">2026-09-30T10:00:33Z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5A6AAA0E2CDE4FBC9A237962A63C6C89_11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